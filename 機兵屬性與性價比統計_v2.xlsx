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機兵總覽" sheetId="1" state="visible" r:id="rId3"/>
    <sheet name="材料成本明細" sheetId="2" state="visible" r:id="rId4"/>
    <sheet name="單價表" sheetId="3" state="visible" r:id="rId5"/>
    <sheet name="科技需求" sheetId="4" state="visible" r:id="rId6"/>
    <sheet name="非量產機兵" sheetId="5" state="visible" r:id="rId7"/>
    <sheet name="說明" sheetId="6" state="visible" r:id="rId8"/>
  </sheets>
  <definedNames>
    <definedName function="false" hidden="true" localSheetId="0" name="_xlnm._FilterDatabase" vbProcedure="false">機兵總覽!$A$1:$V$30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<sst xmlns="http://schemas.openxmlformats.org/spreadsheetml/2006/main" count="434" uniqueCount="244">
  <si>
    <t xml:space="preserve">機兵</t>
  </si>
  <si>
    <t xml:space="preserve">中文名</t>
  </si>
  <si>
    <t xml:space="preserve">defName</t>
  </si>
  <si>
    <t xml:space="preserve">重量級</t>
  </si>
  <si>
    <t xml:space="preserve">科技需求</t>
  </si>
  <si>
    <t xml:space="preserve">研究費</t>
  </si>
  <si>
    <t xml:space="preserve">累計研究費</t>
  </si>
  <si>
    <t xml:space="preserve">戰鬥點數</t>
  </si>
  <si>
    <t xml:space="preserve">頻寬</t>
  </si>
  <si>
    <t xml:space="preserve">體型</t>
  </si>
  <si>
    <t xml:space="preserve">生命係數</t>
  </si>
  <si>
    <t xml:space="preserve">移速</t>
  </si>
  <si>
    <t xml:space="preserve">銳器護甲</t>
  </si>
  <si>
    <t xml:space="preserve">鈍器護甲</t>
  </si>
  <si>
    <t xml:space="preserve">高熱護甲</t>
  </si>
  <si>
    <r>
      <rPr>
        <b val="true"/>
        <sz val="10"/>
        <color rgb="FFFFFFFF"/>
        <rFont val="Noto Sans CJK SC"/>
        <family val="2"/>
      </rPr>
      <t xml:space="preserve">接管時間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天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</si>
  <si>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廢料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次充電</t>
    </r>
  </si>
  <si>
    <t xml:space="preserve">孵化週期</t>
  </si>
  <si>
    <t xml:space="preserve">銀幣成本</t>
  </si>
  <si>
    <r>
      <rPr>
        <b val="true"/>
        <sz val="10"/>
        <color rgb="FFFFFFFF"/>
        <rFont val="Arial"/>
        <family val="0"/>
        <charset val="1"/>
      </rPr>
      <t xml:space="preserve">CP/</t>
    </r>
    <r>
      <rPr>
        <b val="true"/>
        <sz val="10"/>
        <color rgb="FFFFFFFF"/>
        <rFont val="Noto Sans CJK SC"/>
        <family val="2"/>
      </rPr>
      <t xml:space="preserve">銀幣</t>
    </r>
    <r>
      <rPr>
        <b val="true"/>
        <sz val="10"/>
        <color rgb="FFFFFFFF"/>
        <rFont val="Arial"/>
        <family val="0"/>
        <charset val="1"/>
      </rPr>
      <t xml:space="preserve">×1000</t>
    </r>
  </si>
  <si>
    <r>
      <rPr>
        <b val="true"/>
        <sz val="10"/>
        <color rgb="FFFFFFFF"/>
        <rFont val="Arial"/>
        <family val="0"/>
        <charset val="1"/>
      </rPr>
      <t xml:space="preserve">CP/</t>
    </r>
    <r>
      <rPr>
        <b val="true"/>
        <sz val="10"/>
        <color rgb="FFFFFFFF"/>
        <rFont val="Noto Sans CJK SC"/>
        <family val="2"/>
      </rPr>
      <t xml:space="preserve">頻寬</t>
    </r>
  </si>
  <si>
    <r>
      <rPr>
        <b val="true"/>
        <sz val="10"/>
        <color rgb="FFFFFFFF"/>
        <rFont val="Noto Sans CJK SC"/>
        <family val="2"/>
      </rPr>
      <t xml:space="preserve">銀幣</t>
    </r>
    <r>
      <rPr>
        <b val="true"/>
        <sz val="10"/>
        <color rgb="FFFFFFFF"/>
        <rFont val="Arial"/>
        <family val="0"/>
        <charset val="1"/>
      </rPr>
      <t xml:space="preserve">/CP</t>
    </r>
  </si>
  <si>
    <t xml:space="preserve">Noctula</t>
  </si>
  <si>
    <t xml:space="preserve">夜蝠</t>
  </si>
  <si>
    <t xml:space="preserve">DMS_Mech_Noctula</t>
  </si>
  <si>
    <t xml:space="preserve">Light</t>
  </si>
  <si>
    <t xml:space="preserve">Automatroid Basis</t>
  </si>
  <si>
    <t xml:space="preserve">Falcon</t>
  </si>
  <si>
    <t xml:space="preserve">游隼</t>
  </si>
  <si>
    <t xml:space="preserve">DMS_Mech_Falcon</t>
  </si>
  <si>
    <t xml:space="preserve">hyrax</t>
  </si>
  <si>
    <t xml:space="preserve">蹄兔</t>
  </si>
  <si>
    <t xml:space="preserve">DMS_Mech_Hyrax</t>
  </si>
  <si>
    <t xml:space="preserve">Protector</t>
  </si>
  <si>
    <t xml:space="preserve">塔盾手</t>
  </si>
  <si>
    <t xml:space="preserve">DMS_Mech_Protector</t>
  </si>
  <si>
    <t xml:space="preserve">Medium</t>
  </si>
  <si>
    <t xml:space="preserve">Specialized design</t>
  </si>
  <si>
    <t xml:space="preserve">Sniper</t>
  </si>
  <si>
    <t xml:space="preserve">狙擊手</t>
  </si>
  <si>
    <t xml:space="preserve">DMS_Mech_Sniper</t>
  </si>
  <si>
    <t xml:space="preserve">Jaeger</t>
  </si>
  <si>
    <t xml:space="preserve">獵兵</t>
  </si>
  <si>
    <t xml:space="preserve">DMS_Mech_Jaeger</t>
  </si>
  <si>
    <t xml:space="preserve">Ergonomics</t>
  </si>
  <si>
    <t xml:space="preserve">Siegebreaker</t>
  </si>
  <si>
    <t xml:space="preserve">襲城者</t>
  </si>
  <si>
    <t xml:space="preserve">DMS_Mech_Siegebreaker</t>
  </si>
  <si>
    <t xml:space="preserve">Arquebusier</t>
  </si>
  <si>
    <t xml:space="preserve">火槍手</t>
  </si>
  <si>
    <t xml:space="preserve">DMS_Mech_Arquebusier</t>
  </si>
  <si>
    <t xml:space="preserve">Pioneer</t>
  </si>
  <si>
    <t xml:space="preserve">先鋒</t>
  </si>
  <si>
    <t xml:space="preserve">DMS_Mech_Pioneer</t>
  </si>
  <si>
    <t xml:space="preserve">Dead Man's Switch</t>
  </si>
  <si>
    <t xml:space="preserve">Gladiator</t>
  </si>
  <si>
    <t xml:space="preserve">格鬥士</t>
  </si>
  <si>
    <t xml:space="preserve">DMS_Mech_Gladiator</t>
  </si>
  <si>
    <t xml:space="preserve">Ronin</t>
  </si>
  <si>
    <t xml:space="preserve">浪人</t>
  </si>
  <si>
    <t xml:space="preserve">DMS_Mech_Ronin</t>
  </si>
  <si>
    <t xml:space="preserve">Grenadier</t>
  </si>
  <si>
    <t xml:space="preserve">擲彈兵</t>
  </si>
  <si>
    <t xml:space="preserve">DMS_Mech_Grenadier</t>
  </si>
  <si>
    <t xml:space="preserve">Legion</t>
  </si>
  <si>
    <t xml:space="preserve">Phalanx</t>
  </si>
  <si>
    <t xml:space="preserve">方陣步兵</t>
  </si>
  <si>
    <t xml:space="preserve">DMS_Mech_Phalanx</t>
  </si>
  <si>
    <t xml:space="preserve">Sergeant</t>
  </si>
  <si>
    <t xml:space="preserve">軍士</t>
  </si>
  <si>
    <t xml:space="preserve">DMS_Mech_Sergeant</t>
  </si>
  <si>
    <t xml:space="preserve">Soldat</t>
  </si>
  <si>
    <t xml:space="preserve">士兵</t>
  </si>
  <si>
    <t xml:space="preserve">DMS_Mech_Soldat</t>
  </si>
  <si>
    <t xml:space="preserve">Dogge</t>
  </si>
  <si>
    <t xml:space="preserve">獒犬</t>
  </si>
  <si>
    <t xml:space="preserve">DMS_Mech_Dogge</t>
  </si>
  <si>
    <t xml:space="preserve">Mecha Gear</t>
  </si>
  <si>
    <t xml:space="preserve">Gecko</t>
  </si>
  <si>
    <t xml:space="preserve">壁虎</t>
  </si>
  <si>
    <t xml:space="preserve">DMS_Mech_Gecko</t>
  </si>
  <si>
    <t xml:space="preserve">Heavy</t>
  </si>
  <si>
    <t xml:space="preserve">Wetware Hypothesis</t>
  </si>
  <si>
    <t xml:space="preserve">Iguana</t>
  </si>
  <si>
    <t xml:space="preserve">鬣蜥</t>
  </si>
  <si>
    <t xml:space="preserve">DMS_Mech_Iguana</t>
  </si>
  <si>
    <t xml:space="preserve">Field Command</t>
  </si>
  <si>
    <t xml:space="preserve">中繼指揮</t>
  </si>
  <si>
    <t xml:space="preserve">DMS_Mech_FieldCommand</t>
  </si>
  <si>
    <t xml:space="preserve">Battle Friends</t>
  </si>
  <si>
    <t xml:space="preserve">Ape</t>
  </si>
  <si>
    <t xml:space="preserve">猿人</t>
  </si>
  <si>
    <t xml:space="preserve">DMS_Mech_Ape</t>
  </si>
  <si>
    <t xml:space="preserve">Battle Friend</t>
  </si>
  <si>
    <t xml:space="preserve">戰鬥夥伴</t>
  </si>
  <si>
    <t xml:space="preserve">DMS_Mech_BattleFrame</t>
  </si>
  <si>
    <t xml:space="preserve">tiny mammoth</t>
  </si>
  <si>
    <t xml:space="preserve">小猛瑪</t>
  </si>
  <si>
    <t xml:space="preserve">DMS_Mech_Mammoth</t>
  </si>
  <si>
    <t xml:space="preserve">Escort Lifter</t>
  </si>
  <si>
    <t xml:space="preserve">運輸框架</t>
  </si>
  <si>
    <t xml:space="preserve">DMS_Mech_EscortLifter</t>
  </si>
  <si>
    <t xml:space="preserve">Shaft Worker</t>
  </si>
  <si>
    <t xml:space="preserve">工程駁機</t>
  </si>
  <si>
    <t xml:space="preserve">DMS_Mech_ShaftWorker</t>
  </si>
  <si>
    <t xml:space="preserve">Hermit Crab</t>
  </si>
  <si>
    <t xml:space="preserve">寄居蟹</t>
  </si>
  <si>
    <t xml:space="preserve">DMS_Mech_HermitCrab</t>
  </si>
  <si>
    <t xml:space="preserve">UltraHeavy</t>
  </si>
  <si>
    <t xml:space="preserve">Heavy Automatroid</t>
  </si>
  <si>
    <t xml:space="preserve">Tarbosaurus</t>
  </si>
  <si>
    <t xml:space="preserve">駭蜥</t>
  </si>
  <si>
    <t xml:space="preserve">DMS_Mech_Tarbosaurus</t>
  </si>
  <si>
    <t xml:space="preserve">Next-Gen Weaponry</t>
  </si>
  <si>
    <t xml:space="preserve">killdozer</t>
  </si>
  <si>
    <t xml:space="preserve">突擊龜</t>
  </si>
  <si>
    <t xml:space="preserve">DMS_Mech_Killdozer</t>
  </si>
  <si>
    <t xml:space="preserve">geochelone</t>
  </si>
  <si>
    <t xml:space="preserve">象龜</t>
  </si>
  <si>
    <t xml:space="preserve">DMS_Mech_Geochelone</t>
  </si>
  <si>
    <t xml:space="preserve">Caretta</t>
  </si>
  <si>
    <t xml:space="preserve">蠵龜</t>
  </si>
  <si>
    <t xml:space="preserve">DMS_Mech_Caretta</t>
  </si>
  <si>
    <r>
      <rPr>
        <b val="true"/>
        <sz val="10"/>
        <color rgb="FFFFFFFF"/>
        <rFont val="Noto Sans CJK SC"/>
        <family val="2"/>
      </rPr>
      <t xml:space="preserve">鋼材
</t>
    </r>
    <r>
      <rPr>
        <b val="true"/>
        <sz val="10"/>
        <color rgb="FFFFFFFF"/>
        <rFont val="Arial"/>
        <family val="0"/>
        <charset val="1"/>
      </rPr>
      <t xml:space="preserve">(Steel)</t>
    </r>
  </si>
  <si>
    <r>
      <rPr>
        <b val="true"/>
        <sz val="10"/>
        <color rgb="FFFFFFFF"/>
        <rFont val="Noto Sans CJK SC"/>
        <family val="2"/>
      </rPr>
      <t xml:space="preserve">鎢鋼
</t>
    </r>
    <r>
      <rPr>
        <b val="true"/>
        <sz val="10"/>
        <color rgb="FFFFFFFF"/>
        <rFont val="Arial"/>
        <family val="0"/>
        <charset val="1"/>
      </rPr>
      <t xml:space="preserve">(Tungsteel)</t>
    </r>
  </si>
  <si>
    <r>
      <rPr>
        <b val="true"/>
        <sz val="10"/>
        <color rgb="FFFFFFFF"/>
        <rFont val="Noto Sans CJK SC"/>
        <family val="2"/>
      </rPr>
      <t xml:space="preserve">陶瓷板
</t>
    </r>
    <r>
      <rPr>
        <b val="true"/>
        <sz val="10"/>
        <color rgb="FFFFFFFF"/>
        <rFont val="Arial"/>
        <family val="0"/>
        <charset val="1"/>
      </rPr>
      <t xml:space="preserve">(DMS_Ceramics)</t>
    </r>
  </si>
  <si>
    <r>
      <rPr>
        <b val="true"/>
        <sz val="10"/>
        <color rgb="FFFFFFFF"/>
        <rFont val="Noto Sans CJK SC"/>
        <family val="2"/>
      </rPr>
      <t xml:space="preserve">塑纖
</t>
    </r>
    <r>
      <rPr>
        <b val="true"/>
        <sz val="10"/>
        <color rgb="FFFFFFFF"/>
        <rFont val="Arial"/>
        <family val="0"/>
        <charset val="1"/>
      </rPr>
      <t xml:space="preserve">(Plasfiber)</t>
    </r>
  </si>
  <si>
    <r>
      <rPr>
        <b val="true"/>
        <sz val="10"/>
        <color rgb="FFFFFFFF"/>
        <rFont val="Noto Sans CJK SC"/>
        <family val="2"/>
      </rPr>
      <t xml:space="preserve">合成纖維
</t>
    </r>
    <r>
      <rPr>
        <b val="true"/>
        <sz val="10"/>
        <color rgb="FFFFFFFF"/>
        <rFont val="Arial"/>
        <family val="0"/>
        <charset val="1"/>
      </rPr>
      <t xml:space="preserve">(Synthread)</t>
    </r>
  </si>
  <si>
    <r>
      <rPr>
        <b val="true"/>
        <sz val="10"/>
        <color rgb="FFFFFFFF"/>
        <rFont val="Noto Sans CJK SC"/>
        <family val="2"/>
      </rPr>
      <t xml:space="preserve">人造肌肉
</t>
    </r>
    <r>
      <rPr>
        <b val="true"/>
        <sz val="10"/>
        <color rgb="FFFFFFFF"/>
        <rFont val="Arial"/>
        <family val="0"/>
        <charset val="1"/>
      </rPr>
      <t xml:space="preserve">(Artifuscle)</t>
    </r>
  </si>
  <si>
    <r>
      <rPr>
        <b val="true"/>
        <sz val="10"/>
        <color rgb="FFFFFFFF"/>
        <rFont val="Noto Sans CJK SC"/>
        <family val="2"/>
      </rPr>
      <t xml:space="preserve">化石燃料
</t>
    </r>
    <r>
      <rPr>
        <b val="true"/>
        <sz val="10"/>
        <color rgb="FFFFFFFF"/>
        <rFont val="Arial"/>
        <family val="0"/>
        <charset val="1"/>
      </rPr>
      <t xml:space="preserve">(Chemfuel)</t>
    </r>
  </si>
  <si>
    <r>
      <rPr>
        <b val="true"/>
        <sz val="10"/>
        <color rgb="FFFFFFFF"/>
        <rFont val="Noto Sans CJK SC"/>
        <family val="2"/>
      </rPr>
      <t xml:space="preserve">工業元件
</t>
    </r>
    <r>
      <rPr>
        <b val="true"/>
        <sz val="10"/>
        <color rgb="FFFFFFFF"/>
        <rFont val="Arial"/>
        <family val="0"/>
        <charset val="1"/>
      </rPr>
      <t xml:space="preserve">(ComponentIndustrial)</t>
    </r>
  </si>
  <si>
    <r>
      <rPr>
        <b val="true"/>
        <sz val="10"/>
        <color rgb="FFFFFFFF"/>
        <rFont val="Noto Sans CJK SC"/>
        <family val="2"/>
      </rPr>
      <t xml:space="preserve">衝壓元件
</t>
    </r>
    <r>
      <rPr>
        <b val="true"/>
        <sz val="10"/>
        <color rgb="FFFFFFFF"/>
        <rFont val="Arial"/>
        <family val="0"/>
        <charset val="1"/>
      </rPr>
      <t xml:space="preserve">(ComponentStamped)</t>
    </r>
  </si>
  <si>
    <r>
      <rPr>
        <b val="true"/>
        <sz val="10"/>
        <color rgb="FFFFFFFF"/>
        <rFont val="Noto Sans CJK SC"/>
        <family val="2"/>
      </rPr>
      <t xml:space="preserve">先進元件
</t>
    </r>
    <r>
      <rPr>
        <b val="true"/>
        <sz val="10"/>
        <color rgb="FFFFFFFF"/>
        <rFont val="Arial"/>
        <family val="0"/>
        <charset val="1"/>
      </rPr>
      <t xml:space="preserve">(ComponentSpacer)</t>
    </r>
  </si>
  <si>
    <r>
      <rPr>
        <b val="true"/>
        <sz val="10"/>
        <color rgb="FFFFFFFF"/>
        <rFont val="Noto Sans CJK SC"/>
        <family val="2"/>
      </rPr>
      <t xml:space="preserve">傳輸元件
</t>
    </r>
    <r>
      <rPr>
        <b val="true"/>
        <sz val="10"/>
        <color rgb="FFFFFFFF"/>
        <rFont val="Arial"/>
        <family val="0"/>
        <charset val="1"/>
      </rPr>
      <t xml:space="preserve">(ComponentTransmitter)</t>
    </r>
  </si>
  <si>
    <r>
      <rPr>
        <b val="true"/>
        <sz val="10"/>
        <color rgb="FFFFFFFF"/>
        <rFont val="Noto Sans CJK SC"/>
        <family val="2"/>
      </rPr>
      <t xml:space="preserve">火控元件
</t>
    </r>
    <r>
      <rPr>
        <b val="true"/>
        <sz val="10"/>
        <color rgb="FFFFFFFF"/>
        <rFont val="Arial"/>
        <family val="0"/>
        <charset val="1"/>
      </rPr>
      <t xml:space="preserve">(ComponentFireControl)</t>
    </r>
  </si>
  <si>
    <r>
      <rPr>
        <b val="true"/>
        <sz val="10"/>
        <color rgb="FFFFFFFF"/>
        <rFont val="Noto Sans CJK SC"/>
        <family val="2"/>
      </rPr>
      <t xml:space="preserve">控制晶片
</t>
    </r>
    <r>
      <rPr>
        <b val="true"/>
        <sz val="10"/>
        <color rgb="FFFFFFFF"/>
        <rFont val="Arial"/>
        <family val="0"/>
        <charset val="1"/>
      </rPr>
      <t xml:space="preserve">(ComponentControlChip)</t>
    </r>
  </si>
  <si>
    <r>
      <rPr>
        <b val="true"/>
        <sz val="10"/>
        <color rgb="FFFFFFFF"/>
        <rFont val="Noto Sans CJK SC"/>
        <family val="2"/>
      </rPr>
      <t xml:space="preserve">神經電腦
</t>
    </r>
    <r>
      <rPr>
        <b val="true"/>
        <sz val="10"/>
        <color rgb="FFFFFFFF"/>
        <rFont val="Arial"/>
        <family val="0"/>
        <charset val="1"/>
      </rPr>
      <t xml:space="preserve">(Neurocomputer)</t>
    </r>
  </si>
  <si>
    <r>
      <rPr>
        <b val="true"/>
        <sz val="10"/>
        <color rgb="FFFFFFFF"/>
        <rFont val="Noto Sans CJK SC"/>
        <family val="2"/>
      </rPr>
      <t xml:space="preserve">力場核心
</t>
    </r>
    <r>
      <rPr>
        <b val="true"/>
        <sz val="10"/>
        <color rgb="FFFFFFFF"/>
        <rFont val="Arial"/>
        <family val="0"/>
        <charset val="1"/>
      </rPr>
      <t xml:space="preserve">(BroadshieldCore)</t>
    </r>
  </si>
  <si>
    <r>
      <rPr>
        <i val="true"/>
        <sz val="9"/>
        <color rgb="FF0000FF"/>
        <rFont val="Noto Sans CJK SC"/>
        <family val="2"/>
      </rPr>
      <t xml:space="preserve">單價</t>
    </r>
    <r>
      <rPr>
        <i val="true"/>
        <sz val="9"/>
        <color rgb="FF0000FF"/>
        <rFont val="Arial"/>
        <family val="0"/>
        <charset val="1"/>
      </rPr>
      <t xml:space="preserve">(</t>
    </r>
    <r>
      <rPr>
        <i val="true"/>
        <sz val="9"/>
        <color rgb="FF0000FF"/>
        <rFont val="Noto Sans CJK SC"/>
        <family val="2"/>
      </rPr>
      <t xml:space="preserve">銀幣</t>
    </r>
    <r>
      <rPr>
        <i val="true"/>
        <sz val="9"/>
        <color rgb="FF0000FF"/>
        <rFont val="Arial"/>
        <family val="0"/>
        <charset val="1"/>
      </rPr>
      <t xml:space="preserve">/</t>
    </r>
    <r>
      <rPr>
        <i val="true"/>
        <sz val="9"/>
        <color rgb="FF0000FF"/>
        <rFont val="Noto Sans CJK SC"/>
        <family val="2"/>
      </rPr>
      <t xml:space="preserve">單位</t>
    </r>
    <r>
      <rPr>
        <i val="true"/>
        <sz val="9"/>
        <color rgb="FF0000FF"/>
        <rFont val="Arial"/>
        <family val="0"/>
        <charset val="1"/>
      </rPr>
      <t xml:space="preserve">)</t>
    </r>
  </si>
  <si>
    <t xml:space="preserve">↓</t>
  </si>
  <si>
    <r>
      <rPr>
        <b val="true"/>
        <sz val="10"/>
        <color rgb="FFFFFFFF"/>
        <rFont val="Noto Sans CJK SC"/>
        <family val="2"/>
      </rPr>
      <t xml:space="preserve">材料 </t>
    </r>
    <r>
      <rPr>
        <b val="true"/>
        <sz val="10"/>
        <color rgb="FFFFFFFF"/>
        <rFont val="Arial"/>
        <family val="0"/>
        <charset val="1"/>
      </rPr>
      <t xml:space="preserve">defName</t>
    </r>
  </si>
  <si>
    <r>
      <rPr>
        <b val="true"/>
        <sz val="10"/>
        <color rgb="FFFFFFFF"/>
        <rFont val="Noto Sans CJK SC"/>
        <family val="2"/>
      </rPr>
      <t xml:space="preserve">單價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銀幣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</si>
  <si>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中文</t>
  </si>
  <si>
    <t xml:space="preserve">來源</t>
  </si>
  <si>
    <t xml:space="preserve">Steel</t>
  </si>
  <si>
    <t xml:space="preserve">鋼材</t>
  </si>
  <si>
    <r>
      <rPr>
        <sz val="10"/>
        <rFont val="Arial"/>
        <family val="0"/>
        <charset val="1"/>
      </rPr>
      <t xml:space="preserve">RimWorld </t>
    </r>
    <r>
      <rPr>
        <sz val="10"/>
        <rFont val="Noto Sans CJK SC"/>
        <family val="2"/>
      </rPr>
      <t xml:space="preserve">原版 </t>
    </r>
    <r>
      <rPr>
        <sz val="10"/>
        <rFont val="Arial"/>
        <family val="0"/>
        <charset val="1"/>
      </rPr>
      <t xml:space="preserve">(wiki)</t>
    </r>
  </si>
  <si>
    <t xml:space="preserve">Tungsteel</t>
  </si>
  <si>
    <t xml:space="preserve">鎢鋼</t>
  </si>
  <si>
    <r>
      <rPr>
        <sz val="10"/>
        <rFont val="Noto Sans CJK SC"/>
        <family val="2"/>
      </rPr>
      <t xml:space="preserve">本 </t>
    </r>
    <r>
      <rPr>
        <sz val="10"/>
        <rFont val="Arial"/>
        <family val="0"/>
        <charset val="1"/>
      </rPr>
      <t xml:space="preserve">mod statBases/MarketValue</t>
    </r>
  </si>
  <si>
    <t xml:space="preserve">DMS_Ceramics</t>
  </si>
  <si>
    <t xml:space="preserve">陶瓷板</t>
  </si>
  <si>
    <t xml:space="preserve">Plasfiber</t>
  </si>
  <si>
    <t xml:space="preserve">塑纖</t>
  </si>
  <si>
    <t xml:space="preserve">Synthread</t>
  </si>
  <si>
    <t xml:space="preserve">合成纖維</t>
  </si>
  <si>
    <t xml:space="preserve">Artifuscle</t>
  </si>
  <si>
    <t xml:space="preserve">人造肌肉</t>
  </si>
  <si>
    <t xml:space="preserve">Chemfuel</t>
  </si>
  <si>
    <t xml:space="preserve">化石燃料</t>
  </si>
  <si>
    <t xml:space="preserve">ComponentIndustrial</t>
  </si>
  <si>
    <t xml:space="preserve">工業元件</t>
  </si>
  <si>
    <t xml:space="preserve">ComponentStamped</t>
  </si>
  <si>
    <t xml:space="preserve">衝壓元件</t>
  </si>
  <si>
    <t xml:space="preserve">ComponentSpacer</t>
  </si>
  <si>
    <t xml:space="preserve">先進元件</t>
  </si>
  <si>
    <t xml:space="preserve">ComponentTransmitter</t>
  </si>
  <si>
    <t xml:space="preserve">傳輸元件</t>
  </si>
  <si>
    <t xml:space="preserve">ComponentFireControl</t>
  </si>
  <si>
    <t xml:space="preserve">火控元件</t>
  </si>
  <si>
    <t xml:space="preserve">ComponentControlChip</t>
  </si>
  <si>
    <t xml:space="preserve">控制晶片</t>
  </si>
  <si>
    <t xml:space="preserve">Neurocomputer</t>
  </si>
  <si>
    <t xml:space="preserve">神經電腦</t>
  </si>
  <si>
    <t xml:space="preserve">BroadshieldCore</t>
  </si>
  <si>
    <t xml:space="preserve">力場核心</t>
  </si>
  <si>
    <t xml:space="preserve">藍字黃底＝可自行修改的單價假設；改動後「材料成本明細」與相關性價比會自動重算。</t>
  </si>
  <si>
    <r>
      <rPr>
        <i val="true"/>
        <sz val="9"/>
        <rFont val="Noto Sans CJK SC"/>
        <family val="2"/>
      </rPr>
      <t xml:space="preserve">原版單價來源：</t>
    </r>
    <r>
      <rPr>
        <i val="true"/>
        <sz val="9"/>
        <rFont val="Arial"/>
        <family val="0"/>
        <charset val="1"/>
      </rPr>
      <t xml:space="preserve">rimworldwiki.com</t>
    </r>
    <r>
      <rPr>
        <i val="true"/>
        <sz val="9"/>
        <rFont val="Noto Sans CJK SC"/>
        <family val="2"/>
      </rPr>
      <t xml:space="preserve">（</t>
    </r>
    <r>
      <rPr>
        <i val="true"/>
        <sz val="9"/>
        <rFont val="Arial"/>
        <family val="0"/>
        <charset val="1"/>
      </rPr>
      <t xml:space="preserve">Steel 1.9 / Component 32 / Advanced component 200 / Synthread 4 / Shield core 350 / Chemfuel 1.3 </t>
    </r>
    <r>
      <rPr>
        <i val="true"/>
        <sz val="9"/>
        <rFont val="Noto Sans CJK SC"/>
        <family val="2"/>
      </rPr>
      <t xml:space="preserve">假設）</t>
    </r>
  </si>
  <si>
    <t xml:space="preserve">研究項目</t>
  </si>
  <si>
    <t xml:space="preserve">基礎研究費</t>
  </si>
  <si>
    <t xml:space="preserve">科技等級</t>
  </si>
  <si>
    <t xml:space="preserve">前置研究</t>
  </si>
  <si>
    <t xml:space="preserve">可解鎖機兵數</t>
  </si>
  <si>
    <t xml:space="preserve">解鎖機兵</t>
  </si>
  <si>
    <t xml:space="preserve">機兵基礎</t>
  </si>
  <si>
    <t xml:space="preserve">Industrial</t>
  </si>
  <si>
    <t xml:space="preserve">DMS_UAVBasis</t>
  </si>
  <si>
    <r>
      <rPr>
        <sz val="10"/>
        <rFont val="Noto Sans CJK SC"/>
        <family val="2"/>
      </rPr>
      <t xml:space="preserve">夜蝠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游隼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蹄兔</t>
    </r>
  </si>
  <si>
    <t xml:space="preserve">軍團機兵</t>
  </si>
  <si>
    <t xml:space="preserve">DMS_Automatroid</t>
  </si>
  <si>
    <r>
      <rPr>
        <sz val="10"/>
        <rFont val="Noto Sans CJK SC"/>
        <family val="2"/>
      </rPr>
      <t xml:space="preserve">擲彈兵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軍士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士兵</t>
    </r>
  </si>
  <si>
    <t xml:space="preserve">機甲齒輪</t>
  </si>
  <si>
    <t xml:space="preserve">DMS_Material, DMS_Automatroid, Prosthetics</t>
  </si>
  <si>
    <r>
      <rPr>
        <sz val="10"/>
        <rFont val="Noto Sans CJK SC"/>
        <family val="2"/>
      </rPr>
      <t xml:space="preserve">獒犬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猿人</t>
    </r>
  </si>
  <si>
    <t xml:space="preserve">失能機關</t>
  </si>
  <si>
    <t xml:space="preserve">MicroelectronicsBasics, DMS_MechBasis</t>
  </si>
  <si>
    <r>
      <rPr>
        <sz val="10"/>
        <rFont val="Noto Sans CJK SC"/>
        <family val="2"/>
      </rPr>
      <t xml:space="preserve">先鋒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格鬥士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方陣步兵</t>
    </r>
  </si>
  <si>
    <t xml:space="preserve">戰鬥伙伴</t>
  </si>
  <si>
    <t xml:space="preserve">DMS_DeadMansSwitch</t>
  </si>
  <si>
    <r>
      <rPr>
        <sz val="10"/>
        <rFont val="Noto Sans CJK SC"/>
        <family val="2"/>
      </rPr>
      <t xml:space="preserve">中繼指揮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戰鬥夥伴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運輸框架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工程駁機</t>
    </r>
  </si>
  <si>
    <t xml:space="preserve">人機工程學</t>
  </si>
  <si>
    <r>
      <rPr>
        <sz val="10"/>
        <rFont val="Noto Sans CJK SC"/>
        <family val="2"/>
      </rPr>
      <t xml:space="preserve">獵兵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火槍手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浪人</t>
    </r>
  </si>
  <si>
    <t xml:space="preserve">簡言之假說</t>
  </si>
  <si>
    <t xml:space="preserve">Spacer</t>
  </si>
  <si>
    <t xml:space="preserve">DMS_DeadMansSwitch, MultiAnalyzer</t>
  </si>
  <si>
    <r>
      <rPr>
        <sz val="10"/>
        <rFont val="Noto Sans CJK SC"/>
        <family val="2"/>
      </rPr>
      <t xml:space="preserve">壁虎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鬣蜥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小猛瑪</t>
    </r>
  </si>
  <si>
    <t xml:space="preserve">特種機兵</t>
  </si>
  <si>
    <t xml:space="preserve">DMS_HumanoidEngineering</t>
  </si>
  <si>
    <r>
      <rPr>
        <sz val="10"/>
        <rFont val="Noto Sans CJK SC"/>
        <family val="2"/>
      </rPr>
      <t xml:space="preserve">塔盾手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狙擊手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襲城者</t>
    </r>
  </si>
  <si>
    <t xml:space="preserve">重型機兵</t>
  </si>
  <si>
    <t xml:space="preserve">DMS_Hypothesis, DMS_BattleFrame</t>
  </si>
  <si>
    <r>
      <rPr>
        <sz val="10"/>
        <rFont val="Noto Sans CJK SC"/>
        <family val="2"/>
      </rPr>
      <t xml:space="preserve">寄居蟹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突擊龜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象龜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蠵龜</t>
    </r>
  </si>
  <si>
    <t xml:space="preserve">次世代兵器</t>
  </si>
  <si>
    <t xml:space="preserve">DMS_Hybrid, DMS_HeavyAutomatroid</t>
  </si>
  <si>
    <t xml:space="preserve">備註</t>
  </si>
  <si>
    <t xml:space="preserve">DMS_Mech_Geochelone_b</t>
  </si>
  <si>
    <t xml:space="preserve">象龜的載具武器變體，共用象龜配方之外的生成途徑</t>
  </si>
  <si>
    <t xml:space="preserve">Kanonier</t>
  </si>
  <si>
    <t xml:space="preserve">炮兵</t>
  </si>
  <si>
    <t xml:space="preserve">DMS_Mech_Kanonier</t>
  </si>
  <si>
    <r>
      <rPr>
        <sz val="10"/>
        <rFont val="Noto Sans CJK SC"/>
        <family val="2"/>
      </rPr>
      <t xml:space="preserve">無孵化配方，僅出現在 </t>
    </r>
    <r>
      <rPr>
        <sz val="10"/>
        <rFont val="Arial"/>
        <family val="0"/>
        <charset val="1"/>
      </rPr>
      <t xml:space="preserve">Bossgroup</t>
    </r>
    <r>
      <rPr>
        <sz val="10"/>
        <rFont val="Noto Sans CJK SC"/>
        <family val="2"/>
      </rPr>
      <t xml:space="preserve">／敵對勢力，可復活但不可生產</t>
    </r>
  </si>
  <si>
    <t xml:space="preserve">DMS_Mech_Killdozer_b</t>
  </si>
  <si>
    <t xml:space="preserve">突擊龜的載具武器變體</t>
  </si>
  <si>
    <t xml:space="preserve">Lady</t>
  </si>
  <si>
    <t xml:space="preserve">女士</t>
  </si>
  <si>
    <t xml:space="preserve">DMS_Mech_Lady</t>
  </si>
  <si>
    <r>
      <rPr>
        <sz val="10"/>
        <rFont val="Noto Sans CJK SC"/>
        <family val="2"/>
      </rPr>
      <t xml:space="preserve">劇情／</t>
    </r>
    <r>
      <rPr>
        <sz val="10"/>
        <rFont val="Arial"/>
        <family val="0"/>
        <charset val="1"/>
      </rPr>
      <t xml:space="preserve">Boss </t>
    </r>
    <r>
      <rPr>
        <sz val="10"/>
        <rFont val="Noto Sans CJK SC"/>
        <family val="2"/>
      </rPr>
      <t xml:space="preserve">單位，無孵化配方</t>
    </r>
  </si>
  <si>
    <r>
      <rPr>
        <b val="true"/>
        <sz val="12"/>
        <rFont val="Arial"/>
        <family val="0"/>
        <charset val="1"/>
      </rPr>
      <t xml:space="preserve">Dead Man Switch — </t>
    </r>
    <r>
      <rPr>
        <b val="true"/>
        <sz val="12"/>
        <rFont val="Noto Sans CJK SC"/>
        <family val="2"/>
      </rPr>
      <t xml:space="preserve">機兵屬性／戰鬥點數性價比統計</t>
    </r>
  </si>
  <si>
    <r>
      <rPr>
        <sz val="10"/>
        <rFont val="Noto Sans CJK SC"/>
        <family val="2"/>
      </rPr>
      <t xml:space="preserve">資料來源：本 </t>
    </r>
    <r>
      <rPr>
        <sz val="10"/>
        <rFont val="Arial"/>
        <family val="0"/>
        <charset val="1"/>
      </rPr>
      <t xml:space="preserve">mod 1.6/Defs/Things_Race/*.xml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ThingDef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PawnKindDef</t>
    </r>
    <r>
      <rPr>
        <sz val="10"/>
        <rFont val="Noto Sans CJK SC"/>
        <family val="2"/>
      </rPr>
      <t xml:space="preserve">）與 </t>
    </r>
    <r>
      <rPr>
        <sz val="10"/>
        <rFont val="Arial"/>
        <family val="0"/>
        <charset val="1"/>
      </rPr>
      <t xml:space="preserve">1.6/Biotech/Defs/DMS_Recipes_MechGestator*.xml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RecipeDef</t>
    </r>
    <r>
      <rPr>
        <sz val="10"/>
        <rFont val="Noto Sans CJK SC"/>
        <family val="2"/>
      </rPr>
      <t xml:space="preserve">），已展開 </t>
    </r>
    <r>
      <rPr>
        <sz val="10"/>
        <rFont val="Arial"/>
        <family val="0"/>
        <charset val="1"/>
      </rPr>
      <t xml:space="preserve">ParentName </t>
    </r>
    <r>
      <rPr>
        <sz val="10"/>
        <rFont val="Noto Sans CJK SC"/>
        <family val="2"/>
      </rPr>
      <t xml:space="preserve">繼承鏈。</t>
    </r>
  </si>
  <si>
    <t xml:space="preserve">欄位定義</t>
  </si>
  <si>
    <r>
      <rPr>
        <sz val="10"/>
        <rFont val="Noto Sans CJK SC"/>
        <family val="2"/>
      </rPr>
      <t xml:space="preserve">戰鬥點數：</t>
    </r>
    <r>
      <rPr>
        <sz val="10"/>
        <rFont val="Arial"/>
        <family val="0"/>
        <charset val="1"/>
      </rPr>
      <t xml:space="preserve">PawnKindDef.combatPower</t>
    </r>
    <r>
      <rPr>
        <sz val="10"/>
        <rFont val="Noto Sans CJK SC"/>
        <family val="2"/>
      </rPr>
      <t xml:space="preserve">，遊戲用來估算威脅值的官方數字。</t>
    </r>
  </si>
  <si>
    <r>
      <rPr>
        <sz val="10"/>
        <rFont val="Noto Sans CJK SC"/>
        <family val="2"/>
      </rPr>
      <t xml:space="preserve">銀幣成本：配方材料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單價表單價的加總。不含孵化器電力、研究成本、武器成本。</t>
    </r>
  </si>
  <si>
    <r>
      <rPr>
        <sz val="10"/>
        <rFont val="Arial"/>
        <family val="0"/>
        <charset val="1"/>
      </rPr>
      <t xml:space="preserve">CP/</t>
    </r>
    <r>
      <rPr>
        <sz val="10"/>
        <rFont val="Noto Sans CJK SC"/>
        <family val="2"/>
      </rPr>
      <t xml:space="preserve">銀幣</t>
    </r>
    <r>
      <rPr>
        <sz val="10"/>
        <rFont val="Arial"/>
        <family val="0"/>
        <charset val="1"/>
      </rPr>
      <t xml:space="preserve">×1000</t>
    </r>
    <r>
      <rPr>
        <sz val="10"/>
        <rFont val="Noto Sans CJK SC"/>
        <family val="2"/>
      </rPr>
      <t xml:space="preserve">：每 </t>
    </r>
    <r>
      <rPr>
        <sz val="10"/>
        <rFont val="Arial"/>
        <family val="0"/>
        <charset val="1"/>
      </rPr>
      <t xml:space="preserve">1000 </t>
    </r>
    <r>
      <rPr>
        <sz val="10"/>
        <rFont val="Noto Sans CJK SC"/>
        <family val="2"/>
      </rPr>
      <t xml:space="preserve">銀幣材料換到的戰鬥點數，數字越大越划算（主要性價比指標）。</t>
    </r>
  </si>
  <si>
    <r>
      <rPr>
        <sz val="10"/>
        <rFont val="Arial"/>
        <family val="0"/>
        <charset val="1"/>
      </rPr>
      <t xml:space="preserve">CP/</t>
    </r>
    <r>
      <rPr>
        <sz val="10"/>
        <rFont val="Noto Sans CJK SC"/>
        <family val="2"/>
      </rPr>
      <t xml:space="preserve">頻寬：每點機械頻寬換到的戰鬥點數，頻寬是中後期真正的瓶頸，此欄常比銀幣更關鍵。</t>
    </r>
  </si>
  <si>
    <r>
      <rPr>
        <sz val="10"/>
        <rFont val="Noto Sans CJK SC"/>
        <family val="2"/>
      </rPr>
      <t xml:space="preserve">生命係數：</t>
    </r>
    <r>
      <rPr>
        <sz val="10"/>
        <rFont val="Arial"/>
        <family val="0"/>
        <charset val="1"/>
      </rPr>
      <t xml:space="preserve">race.baseHealthScale</t>
    </r>
    <r>
      <rPr>
        <sz val="10"/>
        <rFont val="Noto Sans CJK SC"/>
        <family val="2"/>
      </rPr>
      <t xml:space="preserve">，相對於標準人形的血量倍率。</t>
    </r>
  </si>
  <si>
    <r>
      <rPr>
        <sz val="10"/>
        <rFont val="Noto Sans CJK SC"/>
        <family val="2"/>
      </rPr>
      <t xml:space="preserve">護甲：</t>
    </r>
    <r>
      <rPr>
        <sz val="10"/>
        <rFont val="Arial"/>
        <family val="0"/>
        <charset val="1"/>
      </rPr>
      <t xml:space="preserve">ArmorRating_Sharp / Blunt / Heat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1.0 = </t>
    </r>
    <r>
      <rPr>
        <sz val="10"/>
        <rFont val="Noto Sans CJK SC"/>
        <family val="2"/>
      </rPr>
      <t xml:space="preserve">完全免疫該類傷害。</t>
    </r>
  </si>
  <si>
    <r>
      <rPr>
        <sz val="10"/>
        <rFont val="Noto Sans CJK SC"/>
        <family val="2"/>
      </rPr>
      <t xml:space="preserve">孵化週期：</t>
    </r>
    <r>
      <rPr>
        <sz val="10"/>
        <rFont val="Arial"/>
        <family val="0"/>
        <charset val="1"/>
      </rPr>
      <t xml:space="preserve">gestationCycles</t>
    </r>
    <r>
      <rPr>
        <sz val="10"/>
        <rFont val="Noto Sans CJK SC"/>
        <family val="2"/>
      </rPr>
      <t xml:space="preserve">，決定孵化時間與電力消耗。</t>
    </r>
  </si>
  <si>
    <r>
      <rPr>
        <sz val="10"/>
        <rFont val="Noto Sans CJK SC"/>
        <family val="2"/>
      </rPr>
      <t xml:space="preserve">累計研究費：該研究本身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所有前置研究的 </t>
    </r>
    <r>
      <rPr>
        <sz val="10"/>
        <rFont val="Arial"/>
        <family val="0"/>
        <charset val="1"/>
      </rPr>
      <t xml:space="preserve">baseCost </t>
    </r>
    <r>
      <rPr>
        <sz val="10"/>
        <rFont val="Noto Sans CJK SC"/>
        <family val="2"/>
      </rPr>
      <t xml:space="preserve">總和。</t>
    </r>
  </si>
  <si>
    <t xml:space="preserve">已知假設與限制</t>
  </si>
  <si>
    <r>
      <rPr>
        <sz val="10"/>
        <rFont val="Arial"/>
        <family val="0"/>
        <charset val="1"/>
      </rPr>
      <t xml:space="preserve">1. </t>
    </r>
    <r>
      <rPr>
        <sz val="10"/>
        <rFont val="Noto Sans CJK SC"/>
        <family val="2"/>
      </rPr>
      <t xml:space="preserve">可替換材料（合成纖維／聚酯纖維）一律取配方中列出的第一項計價。</t>
    </r>
  </si>
  <si>
    <r>
      <rPr>
        <sz val="10"/>
        <rFont val="Arial"/>
        <family val="0"/>
        <charset val="1"/>
      </rPr>
      <t xml:space="preserve">2. </t>
    </r>
    <r>
      <rPr>
        <sz val="10"/>
        <rFont val="Noto Sans CJK SC"/>
        <family val="2"/>
      </rPr>
      <t xml:space="preserve">原版材料單價取自 </t>
    </r>
    <r>
      <rPr>
        <sz val="10"/>
        <rFont val="Arial"/>
        <family val="0"/>
        <charset val="1"/>
      </rPr>
      <t xml:space="preserve">RimWorld wiki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Chemfuel 1.3 </t>
    </r>
    <r>
      <rPr>
        <sz val="10"/>
        <rFont val="Noto Sans CJK SC"/>
        <family val="2"/>
      </rPr>
      <t xml:space="preserve">為推估值，可於「單價表」修改。</t>
    </r>
  </si>
  <si>
    <r>
      <rPr>
        <sz val="10"/>
        <rFont val="Arial"/>
        <family val="0"/>
        <charset val="1"/>
      </rPr>
      <t xml:space="preserve">3. </t>
    </r>
    <r>
      <rPr>
        <sz val="10"/>
        <rFont val="Noto Sans CJK SC"/>
        <family val="2"/>
      </rPr>
      <t xml:space="preserve">戰鬥點數是威脅估算值，不等於實戰輸出；機兵的實際戰力高度依賴所裝武器，未計入。</t>
    </r>
  </si>
  <si>
    <r>
      <rPr>
        <sz val="10"/>
        <rFont val="Arial"/>
        <family val="0"/>
        <charset val="1"/>
      </rPr>
      <t xml:space="preserve">4. </t>
    </r>
    <r>
      <rPr>
        <sz val="10"/>
        <rFont val="Noto Sans CJK SC"/>
        <family val="2"/>
      </rPr>
      <t xml:space="preserve">共 </t>
    </r>
    <r>
      <rPr>
        <sz val="10"/>
        <rFont val="Arial"/>
        <family val="0"/>
        <charset val="1"/>
      </rPr>
      <t xml:space="preserve">33 </t>
    </r>
    <r>
      <rPr>
        <sz val="10"/>
        <rFont val="Noto Sans CJK SC"/>
        <family val="2"/>
      </rPr>
      <t xml:space="preserve">個 </t>
    </r>
    <r>
      <rPr>
        <sz val="10"/>
        <rFont val="Arial"/>
        <family val="0"/>
        <charset val="1"/>
      </rPr>
      <t xml:space="preserve">DMS_Mech_* </t>
    </r>
    <r>
      <rPr>
        <sz val="10"/>
        <rFont val="Noto Sans CJK SC"/>
        <family val="2"/>
      </rPr>
      <t xml:space="preserve">機兵定義，其中 </t>
    </r>
    <r>
      <rPr>
        <sz val="10"/>
        <rFont val="Arial"/>
        <family val="0"/>
        <charset val="1"/>
      </rPr>
      <t xml:space="preserve">29 </t>
    </r>
    <r>
      <rPr>
        <sz val="10"/>
        <rFont val="Noto Sans CJK SC"/>
        <family val="2"/>
      </rPr>
      <t xml:space="preserve">個有孵化配方，</t>
    </r>
    <r>
      <rPr>
        <sz val="10"/>
        <rFont val="Arial"/>
        <family val="0"/>
        <charset val="1"/>
      </rPr>
      <t xml:space="preserve">4 </t>
    </r>
    <r>
      <rPr>
        <sz val="10"/>
        <rFont val="Noto Sans CJK SC"/>
        <family val="2"/>
      </rPr>
      <t xml:space="preserve">個列於「非量產機兵」。</t>
    </r>
  </si>
  <si>
    <r>
      <rPr>
        <sz val="10"/>
        <rFont val="Arial"/>
        <family val="0"/>
        <charset val="1"/>
      </rPr>
      <t xml:space="preserve">5. Geochelone_b / Killdozer_b </t>
    </r>
    <r>
      <rPr>
        <sz val="10"/>
        <rFont val="Noto Sans CJK SC"/>
        <family val="2"/>
      </rPr>
      <t xml:space="preserve">與本體屬性完全相同，僅武器掛載方式不同。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</si>
</sst>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#,##0.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Noto Sans CJK SC"/>
      <family val="2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name val="Noto Sans CJK SC"/>
      <family val="2"/>
    </font>
    <font>
      <i val="true"/>
      <sz val="9"/>
      <color rgb="FF0000FF"/>
      <name val="Noto Sans CJK SC"/>
      <family val="2"/>
    </font>
    <font>
      <i val="true"/>
      <sz val="9"/>
      <color rgb="FF0000F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name val="Noto Sans CJK SC"/>
      <family val="2"/>
    </font>
    <font>
      <i val="true"/>
      <sz val="9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2"/>
      <name val="Noto Sans CJK SC"/>
      <family val="2"/>
    </font>
    <font>
      <b val="true"/>
      <sz val="10"/>
      <name val="Noto Sans CJK SC"/>
      <family val="2"/>
    </font>
  </fonts>
  <fills count="5">
    <fill>
      <patternFill patternType="none"/>
    </fill>
    <fill>
      <patternFill patternType="gray125"/>
    </fill>
    <fill>
      <patternFill patternType="solid">
        <fgColor rgb="FF2F4F4F"/>
        <bgColor rgb="FF333399"/>
      </patternFill>
    </fill>
    <fill>
      <patternFill patternType="solid">
        <fgColor rgb="FFFFF2CC"/>
        <bgColor rgb="FFFF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2">
    <dxf>
      <fill>
        <patternFill patternType="solid">
          <fgColor rgb="FF2F4F4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63BE7B"/>
          <bgColor rgb="FF000000"/>
        </patternFill>
      </fill>
    </dxf>
    <dxf>
      <fill>
        <patternFill patternType="solid">
          <fgColor rgb="FF84C87D"/>
          <bgColor rgb="FF000000"/>
        </patternFill>
      </fill>
    </dxf>
    <dxf>
      <fill>
        <patternFill patternType="solid">
          <fgColor rgb="FF97CD7E"/>
          <bgColor rgb="FF000000"/>
        </patternFill>
      </fill>
    </dxf>
    <dxf>
      <fill>
        <patternFill patternType="solid">
          <fgColor rgb="FFAFD480"/>
          <bgColor rgb="FF000000"/>
        </patternFill>
      </fill>
    </dxf>
    <dxf>
      <fill>
        <patternFill patternType="solid">
          <fgColor rgb="FFB6D680"/>
          <bgColor rgb="FF000000"/>
        </patternFill>
      </fill>
    </dxf>
    <dxf>
      <fill>
        <patternFill patternType="solid">
          <fgColor rgb="FFC6DB81"/>
          <bgColor rgb="FF000000"/>
        </patternFill>
      </fill>
    </dxf>
    <dxf>
      <fill>
        <patternFill patternType="solid">
          <fgColor rgb="FFDDE182"/>
          <bgColor rgb="FF000000"/>
        </patternFill>
      </fill>
    </dxf>
    <dxf>
      <fill>
        <patternFill patternType="solid">
          <fgColor rgb="FFDFE283"/>
          <bgColor rgb="FF000000"/>
        </patternFill>
      </fill>
    </dxf>
    <dxf>
      <fill>
        <patternFill patternType="solid">
          <fgColor rgb="FFE3E383"/>
          <bgColor rgb="FF000000"/>
        </patternFill>
      </fill>
    </dxf>
    <dxf>
      <fill>
        <patternFill patternType="solid">
          <fgColor rgb="FFEDE683"/>
          <bgColor rgb="FF000000"/>
        </patternFill>
      </fill>
    </dxf>
    <dxf>
      <fill>
        <patternFill patternType="solid">
          <fgColor rgb="FFEEE683"/>
          <bgColor rgb="FF000000"/>
        </patternFill>
      </fill>
    </dxf>
    <dxf>
      <fill>
        <patternFill patternType="solid">
          <fgColor rgb="FFEFE784"/>
          <bgColor rgb="FF000000"/>
        </patternFill>
      </fill>
    </dxf>
    <dxf>
      <fill>
        <patternFill patternType="solid">
          <fgColor rgb="FFF8696B"/>
          <bgColor rgb="FF000000"/>
        </patternFill>
      </fill>
    </dxf>
    <dxf>
      <fill>
        <patternFill patternType="solid">
          <fgColor rgb="FFF8716C"/>
          <bgColor rgb="FF000000"/>
        </patternFill>
      </fill>
    </dxf>
    <dxf>
      <fill>
        <patternFill patternType="solid">
          <fgColor rgb="FFF8776D"/>
          <bgColor rgb="FF000000"/>
        </patternFill>
      </fill>
    </dxf>
    <dxf>
      <fill>
        <patternFill patternType="solid">
          <fgColor rgb="FFF8E984"/>
          <bgColor rgb="FF000000"/>
        </patternFill>
      </fill>
    </dxf>
    <dxf>
      <fill>
        <patternFill patternType="solid">
          <fgColor rgb="FFF98871"/>
          <bgColor rgb="FF000000"/>
        </patternFill>
      </fill>
    </dxf>
    <dxf>
      <fill>
        <patternFill patternType="solid">
          <fgColor rgb="FFFA8F72"/>
          <bgColor rgb="FF000000"/>
        </patternFill>
      </fill>
    </dxf>
    <dxf>
      <fill>
        <patternFill patternType="solid">
          <fgColor rgb="FFFA9673"/>
          <bgColor rgb="FF000000"/>
        </patternFill>
      </fill>
    </dxf>
    <dxf>
      <fill>
        <patternFill patternType="solid">
          <fgColor rgb="FFFBA676"/>
          <bgColor rgb="FF000000"/>
        </patternFill>
      </fill>
    </dxf>
    <dxf>
      <fill>
        <patternFill patternType="solid">
          <fgColor rgb="FFFBAB77"/>
          <bgColor rgb="FF000000"/>
        </patternFill>
      </fill>
    </dxf>
    <dxf>
      <fill>
        <patternFill patternType="solid">
          <fgColor rgb="FFFCB77A"/>
          <bgColor rgb="FF000000"/>
        </patternFill>
      </fill>
    </dxf>
    <dxf>
      <fill>
        <patternFill patternType="solid">
          <fgColor rgb="FFFCBD7B"/>
          <bgColor rgb="FF000000"/>
        </patternFill>
      </fill>
    </dxf>
    <dxf>
      <fill>
        <patternFill patternType="solid">
          <fgColor rgb="FFFCBE7B"/>
          <bgColor rgb="FF000000"/>
        </patternFill>
      </fill>
    </dxf>
    <dxf>
      <fill>
        <patternFill patternType="solid">
          <fgColor rgb="FFFDC87D"/>
          <bgColor rgb="FF000000"/>
        </patternFill>
      </fill>
    </dxf>
    <dxf>
      <fill>
        <patternFill patternType="solid">
          <fgColor rgb="FFFDCC7E"/>
          <bgColor rgb="FF000000"/>
        </patternFill>
      </fill>
    </dxf>
    <dxf>
      <fill>
        <patternFill patternType="solid">
          <fgColor rgb="FFFDD57F"/>
          <bgColor rgb="FF000000"/>
        </patternFill>
      </fill>
    </dxf>
    <dxf>
      <fill>
        <patternFill patternType="solid">
          <fgColor rgb="FFFFEB84"/>
          <bgColor rgb="FF000000"/>
        </patternFill>
      </fill>
    </dxf>
    <dxf>
      <fill>
        <patternFill patternType="solid">
          <fgColor rgb="FF98CE7F"/>
          <bgColor rgb="FF000000"/>
        </patternFill>
      </fill>
    </dxf>
    <dxf>
      <fill>
        <patternFill patternType="solid">
          <fgColor rgb="FFCBDC81"/>
          <bgColor rgb="FF000000"/>
        </patternFill>
      </fill>
    </dxf>
    <dxf>
      <fill>
        <patternFill patternType="solid">
          <fgColor rgb="FFD1DE82"/>
          <bgColor rgb="FF000000"/>
        </patternFill>
      </fill>
    </dxf>
    <dxf>
      <fill>
        <patternFill patternType="solid">
          <fgColor rgb="FFE7E483"/>
          <bgColor rgb="FF000000"/>
        </patternFill>
      </fill>
    </dxf>
    <dxf>
      <fill>
        <patternFill patternType="solid">
          <fgColor rgb="FFF86E6C"/>
          <bgColor rgb="FF000000"/>
        </patternFill>
      </fill>
    </dxf>
    <dxf>
      <fill>
        <patternFill patternType="solid">
          <fgColor rgb="FFF87A6E"/>
          <bgColor rgb="FF000000"/>
        </patternFill>
      </fill>
    </dxf>
    <dxf>
      <fill>
        <patternFill patternType="solid">
          <fgColor rgb="FFF97F6F"/>
          <bgColor rgb="FF000000"/>
        </patternFill>
      </fill>
    </dxf>
    <dxf>
      <fill>
        <patternFill patternType="solid">
          <fgColor rgb="FFFCB97A"/>
          <bgColor rgb="FF000000"/>
        </patternFill>
      </fill>
    </dxf>
    <dxf>
      <fill>
        <patternFill patternType="solid">
          <fgColor rgb="FFFCC17C"/>
          <bgColor rgb="FF000000"/>
        </patternFill>
      </fill>
    </dxf>
    <dxf>
      <fill>
        <patternFill patternType="solid">
          <fgColor rgb="FFFDD780"/>
          <bgColor rgb="FF000000"/>
        </patternFill>
      </fill>
    </dxf>
    <dxf>
      <fill>
        <patternFill patternType="solid">
          <fgColor rgb="FFFEE282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4F4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1"/>
    <col collapsed="false" customWidth="true" hidden="false" outlineLevel="0" max="3" min="3" style="0" width="24"/>
    <col collapsed="false" customWidth="true" hidden="false" outlineLevel="0" max="4" min="4" style="0" width="11"/>
    <col collapsed="false" customWidth="true" hidden="false" outlineLevel="0" max="5" min="5" style="0" width="20"/>
    <col collapsed="false" customWidth="true" hidden="false" outlineLevel="0" max="6" min="6" style="0" width="9"/>
    <col collapsed="false" customWidth="true" hidden="false" outlineLevel="0" max="7" min="7" style="0" width="11"/>
    <col collapsed="false" customWidth="true" hidden="false" outlineLevel="0" max="8" min="8" style="0" width="10"/>
    <col collapsed="false" customWidth="true" hidden="false" outlineLevel="0" max="10" min="9" style="0" width="7"/>
    <col collapsed="false" customWidth="true" hidden="false" outlineLevel="0" max="11" min="11" style="0" width="9"/>
    <col collapsed="false" customWidth="true" hidden="false" outlineLevel="0" max="12" min="12" style="0" width="7"/>
    <col collapsed="false" customWidth="true" hidden="false" outlineLevel="0" max="15" min="13" style="0" width="9"/>
    <col collapsed="false" customWidth="true" hidden="false" outlineLevel="0" max="17" min="16" style="0" width="12"/>
    <col collapsed="false" customWidth="true" hidden="false" outlineLevel="0" max="18" min="18" style="0" width="9"/>
    <col collapsed="false" customWidth="true" hidden="false" outlineLevel="0" max="19" min="19" style="0" width="11"/>
    <col collapsed="false" customWidth="true" hidden="false" outlineLevel="0" max="20" min="20" style="0" width="14"/>
    <col collapsed="false" customWidth="true" hidden="false" outlineLevel="0" max="22" min="21" style="0" width="10"/>
  </cols>
  <sheetData>
    <row r="1" customFormat="false" ht="29.85" hidden="false" customHeight="false" outlineLevel="0" collapsed="false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2" t="s">
        <v>20</v>
      </c>
      <c r="V1" s="1" t="s">
        <v>21</v>
      </c>
    </row>
    <row r="2" customFormat="false" ht="15" hidden="false" customHeight="false" outlineLevel="0" collapsed="false">
      <c r="A2" s="3" t="s">
        <v>22</v>
      </c>
      <c r="B2" s="4" t="s">
        <v>23</v>
      </c>
      <c r="C2" s="3" t="s">
        <v>24</v>
      </c>
      <c r="D2" s="3" t="s">
        <v>25</v>
      </c>
      <c r="E2" s="3" t="s">
        <v>26</v>
      </c>
      <c r="F2" s="5" t="n">
        <v>1000</v>
      </c>
      <c r="G2" s="5" t="n">
        <v>1200</v>
      </c>
      <c r="H2" s="3" t="n">
        <v>40</v>
      </c>
      <c r="I2" s="3" t="n">
        <v>3</v>
      </c>
      <c r="J2" s="3" t="n">
        <v>0.5</v>
      </c>
      <c r="K2" s="3" t="n">
        <v>0.75</v>
      </c>
      <c r="L2" s="3" t="n">
        <v>8</v>
      </c>
      <c r="M2" s="3" t="n">
        <v>0.2</v>
      </c>
      <c r="N2" s="3" t="n">
        <v>0.2</v>
      </c>
      <c r="O2" s="3" t="n">
        <v>0.25</v>
      </c>
      <c r="P2" s="3" t="n">
        <v>5</v>
      </c>
      <c r="Q2" s="3" t="n">
        <v>2</v>
      </c>
      <c r="R2" s="3" t="n">
        <v>3</v>
      </c>
      <c r="S2" s="6" t="n">
        <v>1334.5</v>
      </c>
      <c r="T2" s="6" t="n">
        <f aca="false">IF(S2=0,"",H2/S2*1000)</f>
        <v>29.9737729486699</v>
      </c>
      <c r="U2" s="6" t="n">
        <f aca="false">IF(I2=0,"",H2/I2)</f>
        <v>13.3333333333333</v>
      </c>
      <c r="V2" s="6" t="n">
        <f aca="false">IF(H2=0,"",S2/H2)</f>
        <v>33.3625</v>
      </c>
    </row>
    <row r="3" customFormat="false" ht="15" hidden="false" customHeight="false" outlineLevel="0" collapsed="false">
      <c r="A3" s="3" t="s">
        <v>27</v>
      </c>
      <c r="B3" s="4" t="s">
        <v>28</v>
      </c>
      <c r="C3" s="3" t="s">
        <v>29</v>
      </c>
      <c r="D3" s="3" t="s">
        <v>25</v>
      </c>
      <c r="E3" s="3" t="s">
        <v>26</v>
      </c>
      <c r="F3" s="5" t="n">
        <v>1000</v>
      </c>
      <c r="G3" s="5" t="n">
        <v>1200</v>
      </c>
      <c r="H3" s="3" t="n">
        <v>20</v>
      </c>
      <c r="I3" s="3" t="n">
        <v>1</v>
      </c>
      <c r="J3" s="3" t="n">
        <v>0.5</v>
      </c>
      <c r="K3" s="3" t="n">
        <v>0.75</v>
      </c>
      <c r="L3" s="3" t="n">
        <v>8</v>
      </c>
      <c r="M3" s="3" t="n">
        <v>0.2</v>
      </c>
      <c r="N3" s="3" t="n">
        <v>0.2</v>
      </c>
      <c r="O3" s="3" t="n">
        <v>0.25</v>
      </c>
      <c r="P3" s="3" t="n">
        <v>5</v>
      </c>
      <c r="Q3" s="3" t="n">
        <v>2</v>
      </c>
      <c r="R3" s="3" t="n">
        <v>2</v>
      </c>
      <c r="S3" s="6" t="n">
        <v>334.5</v>
      </c>
      <c r="T3" s="6" t="n">
        <f aca="false">IF(S3=0,"",H3/S3*1000)</f>
        <v>59.7907324364724</v>
      </c>
      <c r="U3" s="6" t="n">
        <f aca="false">IF(I3=0,"",H3/I3)</f>
        <v>20</v>
      </c>
      <c r="V3" s="6" t="n">
        <f aca="false">IF(H3=0,"",S3/H3)</f>
        <v>16.725</v>
      </c>
    </row>
    <row r="4" customFormat="false" ht="15" hidden="false" customHeight="false" outlineLevel="0" collapsed="false">
      <c r="A4" s="3" t="s">
        <v>30</v>
      </c>
      <c r="B4" s="4" t="s">
        <v>31</v>
      </c>
      <c r="C4" s="3" t="s">
        <v>32</v>
      </c>
      <c r="D4" s="3" t="s">
        <v>25</v>
      </c>
      <c r="E4" s="3" t="s">
        <v>26</v>
      </c>
      <c r="F4" s="5" t="n">
        <v>1000</v>
      </c>
      <c r="G4" s="5" t="n">
        <v>1200</v>
      </c>
      <c r="H4" s="3" t="n">
        <v>20</v>
      </c>
      <c r="I4" s="3" t="n">
        <v>1</v>
      </c>
      <c r="J4" s="3" t="n">
        <v>0.8</v>
      </c>
      <c r="K4" s="3" t="n">
        <v>0.5</v>
      </c>
      <c r="L4" s="3" t="n">
        <v>4</v>
      </c>
      <c r="M4" s="3" t="n">
        <v>0.3</v>
      </c>
      <c r="N4" s="3" t="n">
        <v>0.5</v>
      </c>
      <c r="O4" s="3" t="n">
        <v>0.25</v>
      </c>
      <c r="P4" s="3" t="n">
        <v>5</v>
      </c>
      <c r="Q4" s="3" t="n">
        <v>1</v>
      </c>
      <c r="R4" s="3" t="n">
        <v>1</v>
      </c>
      <c r="S4" s="6" t="n">
        <v>382</v>
      </c>
      <c r="T4" s="6" t="n">
        <f aca="false">IF(S4=0,"",H4/S4*1000)</f>
        <v>52.3560209424084</v>
      </c>
      <c r="U4" s="6" t="n">
        <f aca="false">IF(I4=0,"",H4/I4)</f>
        <v>20</v>
      </c>
      <c r="V4" s="6" t="n">
        <f aca="false">IF(H4=0,"",S4/H4)</f>
        <v>19.1</v>
      </c>
    </row>
    <row r="5" customFormat="false" ht="15" hidden="false" customHeight="false" outlineLevel="0" collapsed="false">
      <c r="A5" s="3" t="s">
        <v>33</v>
      </c>
      <c r="B5" s="4" t="s">
        <v>34</v>
      </c>
      <c r="C5" s="3" t="s">
        <v>35</v>
      </c>
      <c r="D5" s="3" t="s">
        <v>36</v>
      </c>
      <c r="E5" s="3" t="s">
        <v>37</v>
      </c>
      <c r="F5" s="5" t="n">
        <v>2500</v>
      </c>
      <c r="G5" s="5" t="n">
        <v>8400</v>
      </c>
      <c r="H5" s="3" t="n">
        <v>300</v>
      </c>
      <c r="I5" s="3" t="n">
        <v>3</v>
      </c>
      <c r="J5" s="3" t="n">
        <v>1.3</v>
      </c>
      <c r="K5" s="3" t="n">
        <v>1.85</v>
      </c>
      <c r="L5" s="3" t="n">
        <v>4</v>
      </c>
      <c r="M5" s="3" t="n">
        <v>1.4</v>
      </c>
      <c r="N5" s="3" t="n">
        <v>0.8</v>
      </c>
      <c r="O5" s="3" t="n">
        <v>0.83</v>
      </c>
      <c r="P5" s="3" t="n">
        <v>5</v>
      </c>
      <c r="Q5" s="3" t="n">
        <v>3</v>
      </c>
      <c r="R5" s="3" t="n">
        <v>4</v>
      </c>
      <c r="S5" s="6" t="n">
        <v>2016</v>
      </c>
      <c r="T5" s="6" t="n">
        <f aca="false">IF(S5=0,"",H5/S5*1000)</f>
        <v>148.809523809524</v>
      </c>
      <c r="U5" s="6" t="n">
        <f aca="false">IF(I5=0,"",H5/I5)</f>
        <v>100</v>
      </c>
      <c r="V5" s="6" t="n">
        <f aca="false">IF(H5=0,"",S5/H5)</f>
        <v>6.72</v>
      </c>
    </row>
    <row r="6" customFormat="false" ht="15" hidden="false" customHeight="false" outlineLevel="0" collapsed="false">
      <c r="A6" s="3" t="s">
        <v>38</v>
      </c>
      <c r="B6" s="4" t="s">
        <v>39</v>
      </c>
      <c r="C6" s="3" t="s">
        <v>40</v>
      </c>
      <c r="D6" s="3" t="s">
        <v>36</v>
      </c>
      <c r="E6" s="3" t="s">
        <v>37</v>
      </c>
      <c r="F6" s="5" t="n">
        <v>2500</v>
      </c>
      <c r="G6" s="5" t="n">
        <v>8400</v>
      </c>
      <c r="H6" s="3" t="n">
        <v>210</v>
      </c>
      <c r="I6" s="3" t="n">
        <v>4</v>
      </c>
      <c r="J6" s="3" t="n">
        <v>1.1</v>
      </c>
      <c r="K6" s="3" t="n">
        <v>1</v>
      </c>
      <c r="L6" s="3" t="n">
        <v>4.5</v>
      </c>
      <c r="M6" s="3" t="n">
        <v>0.6</v>
      </c>
      <c r="N6" s="3" t="n">
        <v>0.5</v>
      </c>
      <c r="O6" s="3" t="n">
        <v>0.83</v>
      </c>
      <c r="P6" s="3" t="n">
        <v>5</v>
      </c>
      <c r="Q6" s="3" t="n">
        <v>3</v>
      </c>
      <c r="R6" s="3" t="n">
        <v>3</v>
      </c>
      <c r="S6" s="6" t="n">
        <v>2896</v>
      </c>
      <c r="T6" s="6" t="n">
        <f aca="false">IF(S6=0,"",H6/S6*1000)</f>
        <v>72.5138121546961</v>
      </c>
      <c r="U6" s="6" t="n">
        <f aca="false">IF(I6=0,"",H6/I6)</f>
        <v>52.5</v>
      </c>
      <c r="V6" s="6" t="n">
        <f aca="false">IF(H6=0,"",S6/H6)</f>
        <v>13.7904761904762</v>
      </c>
    </row>
    <row r="7" customFormat="false" ht="15" hidden="false" customHeight="false" outlineLevel="0" collapsed="false">
      <c r="A7" s="3" t="s">
        <v>41</v>
      </c>
      <c r="B7" s="4" t="s">
        <v>42</v>
      </c>
      <c r="C7" s="3" t="s">
        <v>43</v>
      </c>
      <c r="D7" s="3" t="s">
        <v>36</v>
      </c>
      <c r="E7" s="3" t="s">
        <v>44</v>
      </c>
      <c r="F7" s="5" t="n">
        <v>1200</v>
      </c>
      <c r="G7" s="5" t="n">
        <v>5900</v>
      </c>
      <c r="H7" s="3" t="n">
        <v>200</v>
      </c>
      <c r="I7" s="3" t="n">
        <v>3</v>
      </c>
      <c r="J7" s="3" t="n">
        <v>1.1</v>
      </c>
      <c r="K7" s="3" t="n">
        <v>1</v>
      </c>
      <c r="L7" s="3" t="n">
        <v>5.3</v>
      </c>
      <c r="M7" s="3" t="n">
        <v>0.6</v>
      </c>
      <c r="N7" s="3" t="n">
        <v>0.5</v>
      </c>
      <c r="O7" s="3" t="n">
        <v>0.67</v>
      </c>
      <c r="P7" s="3" t="n">
        <v>5</v>
      </c>
      <c r="Q7" s="3" t="n">
        <v>3</v>
      </c>
      <c r="R7" s="3" t="n">
        <v>3</v>
      </c>
      <c r="S7" s="6" t="n">
        <v>1806</v>
      </c>
      <c r="T7" s="6" t="n">
        <f aca="false">IF(S7=0,"",H7/S7*1000)</f>
        <v>110.741971207087</v>
      </c>
      <c r="U7" s="6" t="n">
        <f aca="false">IF(I7=0,"",H7/I7)</f>
        <v>66.6666666666667</v>
      </c>
      <c r="V7" s="6" t="n">
        <f aca="false">IF(H7=0,"",S7/H7)</f>
        <v>9.03</v>
      </c>
    </row>
    <row r="8" customFormat="false" ht="15" hidden="false" customHeight="false" outlineLevel="0" collapsed="false">
      <c r="A8" s="3" t="s">
        <v>45</v>
      </c>
      <c r="B8" s="4" t="s">
        <v>46</v>
      </c>
      <c r="C8" s="3" t="s">
        <v>47</v>
      </c>
      <c r="D8" s="3" t="s">
        <v>36</v>
      </c>
      <c r="E8" s="3" t="s">
        <v>37</v>
      </c>
      <c r="F8" s="5" t="n">
        <v>2500</v>
      </c>
      <c r="G8" s="5" t="n">
        <v>8400</v>
      </c>
      <c r="H8" s="3" t="n">
        <v>200</v>
      </c>
      <c r="I8" s="3" t="n">
        <v>3</v>
      </c>
      <c r="J8" s="3" t="n">
        <v>1.3</v>
      </c>
      <c r="K8" s="3" t="n">
        <v>1.54</v>
      </c>
      <c r="L8" s="3" t="n">
        <v>4.2</v>
      </c>
      <c r="M8" s="3" t="n">
        <v>1.25</v>
      </c>
      <c r="N8" s="3" t="n">
        <v>0.8</v>
      </c>
      <c r="O8" s="3" t="n">
        <v>0.83</v>
      </c>
      <c r="P8" s="3" t="n">
        <v>5</v>
      </c>
      <c r="Q8" s="3" t="n">
        <v>3</v>
      </c>
      <c r="R8" s="3" t="n">
        <v>4</v>
      </c>
      <c r="S8" s="6" t="n">
        <v>2073.5</v>
      </c>
      <c r="T8" s="6" t="n">
        <f aca="false">IF(S8=0,"",H8/S8*1000)</f>
        <v>96.455268869062</v>
      </c>
      <c r="U8" s="6" t="n">
        <f aca="false">IF(I8=0,"",H8/I8)</f>
        <v>66.6666666666667</v>
      </c>
      <c r="V8" s="6" t="n">
        <f aca="false">IF(H8=0,"",S8/H8)</f>
        <v>10.3675</v>
      </c>
    </row>
    <row r="9" customFormat="false" ht="15" hidden="false" customHeight="false" outlineLevel="0" collapsed="false">
      <c r="A9" s="3" t="s">
        <v>48</v>
      </c>
      <c r="B9" s="4" t="s">
        <v>49</v>
      </c>
      <c r="C9" s="3" t="s">
        <v>50</v>
      </c>
      <c r="D9" s="3" t="s">
        <v>36</v>
      </c>
      <c r="E9" s="3" t="s">
        <v>44</v>
      </c>
      <c r="F9" s="5" t="n">
        <v>1200</v>
      </c>
      <c r="G9" s="5" t="n">
        <v>5900</v>
      </c>
      <c r="H9" s="3" t="n">
        <v>180</v>
      </c>
      <c r="I9" s="3" t="n">
        <v>2</v>
      </c>
      <c r="J9" s="3" t="n">
        <v>1.1</v>
      </c>
      <c r="K9" s="3" t="n">
        <v>1</v>
      </c>
      <c r="L9" s="3" t="n">
        <v>4.5</v>
      </c>
      <c r="M9" s="3" t="n">
        <v>0.6</v>
      </c>
      <c r="N9" s="3" t="n">
        <v>0.5</v>
      </c>
      <c r="O9" s="3" t="n">
        <v>0.67</v>
      </c>
      <c r="P9" s="3" t="n">
        <v>5</v>
      </c>
      <c r="Q9" s="3" t="n">
        <v>3</v>
      </c>
      <c r="R9" s="3" t="n">
        <v>3</v>
      </c>
      <c r="S9" s="6" t="n">
        <v>1256</v>
      </c>
      <c r="T9" s="6" t="n">
        <f aca="false">IF(S9=0,"",H9/S9*1000)</f>
        <v>143.312101910828</v>
      </c>
      <c r="U9" s="6" t="n">
        <f aca="false">IF(I9=0,"",H9/I9)</f>
        <v>90</v>
      </c>
      <c r="V9" s="6" t="n">
        <f aca="false">IF(H9=0,"",S9/H9)</f>
        <v>6.97777777777778</v>
      </c>
    </row>
    <row r="10" customFormat="false" ht="15" hidden="false" customHeight="false" outlineLevel="0" collapsed="false">
      <c r="A10" s="3" t="s">
        <v>51</v>
      </c>
      <c r="B10" s="4" t="s">
        <v>52</v>
      </c>
      <c r="C10" s="3" t="s">
        <v>53</v>
      </c>
      <c r="D10" s="3" t="s">
        <v>36</v>
      </c>
      <c r="E10" s="3" t="s">
        <v>54</v>
      </c>
      <c r="F10" s="5" t="n">
        <v>1000</v>
      </c>
      <c r="G10" s="5" t="n">
        <v>4700</v>
      </c>
      <c r="H10" s="3" t="n">
        <v>180</v>
      </c>
      <c r="I10" s="3" t="n">
        <v>2</v>
      </c>
      <c r="J10" s="3" t="n">
        <v>1.1</v>
      </c>
      <c r="K10" s="3" t="n">
        <v>1</v>
      </c>
      <c r="L10" s="3" t="n">
        <v>4.5</v>
      </c>
      <c r="M10" s="3" t="n">
        <v>0.6</v>
      </c>
      <c r="N10" s="3" t="n">
        <v>0.5</v>
      </c>
      <c r="O10" s="3" t="n">
        <v>0.5</v>
      </c>
      <c r="P10" s="3" t="n">
        <v>5</v>
      </c>
      <c r="Q10" s="3" t="n">
        <v>3</v>
      </c>
      <c r="R10" s="3" t="n">
        <v>2</v>
      </c>
      <c r="S10" s="6" t="n">
        <v>846</v>
      </c>
      <c r="T10" s="6" t="n">
        <f aca="false">IF(S10=0,"",H10/S10*1000)</f>
        <v>212.765957446809</v>
      </c>
      <c r="U10" s="6" t="n">
        <f aca="false">IF(I10=0,"",H10/I10)</f>
        <v>90</v>
      </c>
      <c r="V10" s="6" t="n">
        <f aca="false">IF(H10=0,"",S10/H10)</f>
        <v>4.7</v>
      </c>
    </row>
    <row r="11" customFormat="false" ht="15" hidden="false" customHeight="false" outlineLevel="0" collapsed="false">
      <c r="A11" s="3" t="s">
        <v>55</v>
      </c>
      <c r="B11" s="4" t="s">
        <v>56</v>
      </c>
      <c r="C11" s="3" t="s">
        <v>57</v>
      </c>
      <c r="D11" s="3" t="s">
        <v>36</v>
      </c>
      <c r="E11" s="3" t="s">
        <v>54</v>
      </c>
      <c r="F11" s="5" t="n">
        <v>1000</v>
      </c>
      <c r="G11" s="5" t="n">
        <v>4700</v>
      </c>
      <c r="H11" s="3" t="n">
        <v>150</v>
      </c>
      <c r="I11" s="3" t="n">
        <v>3</v>
      </c>
      <c r="J11" s="3" t="n">
        <v>1.2</v>
      </c>
      <c r="K11" s="3" t="n">
        <v>1.32</v>
      </c>
      <c r="L11" s="3" t="n">
        <v>5</v>
      </c>
      <c r="M11" s="3" t="n">
        <v>0.9</v>
      </c>
      <c r="N11" s="3" t="n">
        <v>0.8</v>
      </c>
      <c r="O11" s="3" t="n">
        <v>0.5</v>
      </c>
      <c r="P11" s="3" t="n">
        <v>5</v>
      </c>
      <c r="Q11" s="3" t="n">
        <v>2</v>
      </c>
      <c r="R11" s="3" t="n">
        <v>4</v>
      </c>
      <c r="S11" s="6" t="n">
        <v>1376</v>
      </c>
      <c r="T11" s="6" t="n">
        <f aca="false">IF(S11=0,"",H11/S11*1000)</f>
        <v>109.011627906977</v>
      </c>
      <c r="U11" s="6" t="n">
        <f aca="false">IF(I11=0,"",H11/I11)</f>
        <v>50</v>
      </c>
      <c r="V11" s="6" t="n">
        <f aca="false">IF(H11=0,"",S11/H11)</f>
        <v>9.17333333333333</v>
      </c>
    </row>
    <row r="12" customFormat="false" ht="15" hidden="false" customHeight="false" outlineLevel="0" collapsed="false">
      <c r="A12" s="3" t="s">
        <v>58</v>
      </c>
      <c r="B12" s="4" t="s">
        <v>59</v>
      </c>
      <c r="C12" s="3" t="s">
        <v>60</v>
      </c>
      <c r="D12" s="3" t="s">
        <v>36</v>
      </c>
      <c r="E12" s="3" t="s">
        <v>44</v>
      </c>
      <c r="F12" s="5" t="n">
        <v>1200</v>
      </c>
      <c r="G12" s="5" t="n">
        <v>5900</v>
      </c>
      <c r="H12" s="3" t="n">
        <v>150</v>
      </c>
      <c r="I12" s="3" t="n">
        <v>3</v>
      </c>
      <c r="J12" s="3" t="n">
        <v>1.2</v>
      </c>
      <c r="K12" s="3" t="n">
        <v>1.32</v>
      </c>
      <c r="L12" s="3" t="n">
        <v>5</v>
      </c>
      <c r="M12" s="3" t="n">
        <v>1</v>
      </c>
      <c r="N12" s="3" t="n">
        <v>0.7</v>
      </c>
      <c r="O12" s="3" t="n">
        <v>0.67</v>
      </c>
      <c r="P12" s="3" t="n">
        <v>5</v>
      </c>
      <c r="Q12" s="3" t="n">
        <v>2</v>
      </c>
      <c r="R12" s="3" t="n">
        <v>4</v>
      </c>
      <c r="S12" s="6" t="n">
        <v>1576</v>
      </c>
      <c r="T12" s="6" t="n">
        <f aca="false">IF(S12=0,"",H12/S12*1000)</f>
        <v>95.1776649746193</v>
      </c>
      <c r="U12" s="6" t="n">
        <f aca="false">IF(I12=0,"",H12/I12)</f>
        <v>50</v>
      </c>
      <c r="V12" s="6" t="n">
        <f aca="false">IF(H12=0,"",S12/H12)</f>
        <v>10.5066666666667</v>
      </c>
    </row>
    <row r="13" customFormat="false" ht="15" hidden="false" customHeight="false" outlineLevel="0" collapsed="false">
      <c r="A13" s="3" t="s">
        <v>61</v>
      </c>
      <c r="B13" s="4" t="s">
        <v>62</v>
      </c>
      <c r="C13" s="3" t="s">
        <v>63</v>
      </c>
      <c r="D13" s="3" t="s">
        <v>36</v>
      </c>
      <c r="E13" s="3" t="s">
        <v>64</v>
      </c>
      <c r="F13" s="5" t="n">
        <v>500</v>
      </c>
      <c r="G13" s="5" t="n">
        <v>1700</v>
      </c>
      <c r="H13" s="3" t="n">
        <v>120</v>
      </c>
      <c r="I13" s="3" t="n">
        <v>2</v>
      </c>
      <c r="J13" s="3" t="n">
        <v>1</v>
      </c>
      <c r="K13" s="3" t="n">
        <v>1</v>
      </c>
      <c r="L13" s="3" t="n">
        <v>4.2</v>
      </c>
      <c r="M13" s="3" t="n">
        <v>0.4</v>
      </c>
      <c r="N13" s="3" t="n">
        <v>0.2</v>
      </c>
      <c r="O13" s="3" t="n">
        <v>0.33</v>
      </c>
      <c r="P13" s="3" t="n">
        <v>5</v>
      </c>
      <c r="Q13" s="3" t="n">
        <v>2</v>
      </c>
      <c r="R13" s="3" t="n">
        <v>2</v>
      </c>
      <c r="S13" s="6" t="n">
        <v>648</v>
      </c>
      <c r="T13" s="6" t="n">
        <f aca="false">IF(S13=0,"",H13/S13*1000)</f>
        <v>185.185185185185</v>
      </c>
      <c r="U13" s="6" t="n">
        <f aca="false">IF(I13=0,"",H13/I13)</f>
        <v>60</v>
      </c>
      <c r="V13" s="6" t="n">
        <f aca="false">IF(H13=0,"",S13/H13)</f>
        <v>5.4</v>
      </c>
    </row>
    <row r="14" customFormat="false" ht="15" hidden="false" customHeight="false" outlineLevel="0" collapsed="false">
      <c r="A14" s="3" t="s">
        <v>65</v>
      </c>
      <c r="B14" s="4" t="s">
        <v>66</v>
      </c>
      <c r="C14" s="3" t="s">
        <v>67</v>
      </c>
      <c r="D14" s="3" t="s">
        <v>36</v>
      </c>
      <c r="E14" s="3" t="s">
        <v>54</v>
      </c>
      <c r="F14" s="5" t="n">
        <v>1000</v>
      </c>
      <c r="G14" s="5" t="n">
        <v>4700</v>
      </c>
      <c r="H14" s="3" t="n">
        <v>120</v>
      </c>
      <c r="I14" s="3" t="n">
        <v>2</v>
      </c>
      <c r="J14" s="3" t="n">
        <v>1.1</v>
      </c>
      <c r="K14" s="3" t="n">
        <v>1.32</v>
      </c>
      <c r="L14" s="3" t="n">
        <v>4.5</v>
      </c>
      <c r="M14" s="3" t="n">
        <v>0.9</v>
      </c>
      <c r="N14" s="3" t="n">
        <v>0.6</v>
      </c>
      <c r="O14" s="3" t="n">
        <v>0.5</v>
      </c>
      <c r="P14" s="3" t="n">
        <v>5</v>
      </c>
      <c r="Q14" s="3" t="n">
        <v>3</v>
      </c>
      <c r="R14" s="3" t="n">
        <v>2</v>
      </c>
      <c r="S14" s="6" t="n">
        <v>926</v>
      </c>
      <c r="T14" s="6" t="n">
        <f aca="false">IF(S14=0,"",H14/S14*1000)</f>
        <v>129.589632829374</v>
      </c>
      <c r="U14" s="6" t="n">
        <f aca="false">IF(I14=0,"",H14/I14)</f>
        <v>60</v>
      </c>
      <c r="V14" s="6" t="n">
        <f aca="false">IF(H14=0,"",S14/H14)</f>
        <v>7.71666666666667</v>
      </c>
    </row>
    <row r="15" customFormat="false" ht="15" hidden="false" customHeight="false" outlineLevel="0" collapsed="false">
      <c r="A15" s="3" t="s">
        <v>68</v>
      </c>
      <c r="B15" s="4" t="s">
        <v>69</v>
      </c>
      <c r="C15" s="3" t="s">
        <v>70</v>
      </c>
      <c r="D15" s="3" t="s">
        <v>36</v>
      </c>
      <c r="E15" s="3" t="s">
        <v>64</v>
      </c>
      <c r="F15" s="5" t="n">
        <v>500</v>
      </c>
      <c r="G15" s="5" t="n">
        <v>1700</v>
      </c>
      <c r="H15" s="3" t="n">
        <v>75</v>
      </c>
      <c r="I15" s="3" t="n">
        <v>4</v>
      </c>
      <c r="J15" s="3" t="n">
        <v>1</v>
      </c>
      <c r="K15" s="3" t="n">
        <v>1</v>
      </c>
      <c r="L15" s="3" t="n">
        <v>4</v>
      </c>
      <c r="M15" s="3" t="n">
        <v>0.35</v>
      </c>
      <c r="N15" s="3" t="n">
        <v>0.2</v>
      </c>
      <c r="O15" s="3" t="n">
        <v>0.33</v>
      </c>
      <c r="P15" s="3" t="n">
        <v>5</v>
      </c>
      <c r="Q15" s="3" t="n">
        <v>2</v>
      </c>
      <c r="R15" s="3" t="n">
        <v>1</v>
      </c>
      <c r="S15" s="6" t="n">
        <v>1378.5</v>
      </c>
      <c r="T15" s="6" t="n">
        <f aca="false">IF(S15=0,"",H15/S15*1000)</f>
        <v>54.4069640914037</v>
      </c>
      <c r="U15" s="6" t="n">
        <f aca="false">IF(I15=0,"",H15/I15)</f>
        <v>18.75</v>
      </c>
      <c r="V15" s="6" t="n">
        <f aca="false">IF(H15=0,"",S15/H15)</f>
        <v>18.38</v>
      </c>
    </row>
    <row r="16" customFormat="false" ht="15" hidden="false" customHeight="false" outlineLevel="0" collapsed="false">
      <c r="A16" s="3" t="s">
        <v>71</v>
      </c>
      <c r="B16" s="4" t="s">
        <v>72</v>
      </c>
      <c r="C16" s="3" t="s">
        <v>73</v>
      </c>
      <c r="D16" s="3" t="s">
        <v>36</v>
      </c>
      <c r="E16" s="3" t="s">
        <v>64</v>
      </c>
      <c r="F16" s="5" t="n">
        <v>500</v>
      </c>
      <c r="G16" s="5" t="n">
        <v>1700</v>
      </c>
      <c r="H16" s="3" t="n">
        <v>40</v>
      </c>
      <c r="I16" s="3" t="n">
        <v>1</v>
      </c>
      <c r="J16" s="3" t="n">
        <v>1</v>
      </c>
      <c r="K16" s="3" t="n">
        <v>1</v>
      </c>
      <c r="L16" s="3" t="n">
        <v>4.2</v>
      </c>
      <c r="M16" s="3" t="n">
        <v>0.4</v>
      </c>
      <c r="N16" s="3" t="n">
        <v>0.2</v>
      </c>
      <c r="O16" s="3" t="n">
        <v>0.33</v>
      </c>
      <c r="P16" s="3" t="n">
        <v>5</v>
      </c>
      <c r="Q16" s="3" t="n">
        <v>2</v>
      </c>
      <c r="R16" s="3" t="n">
        <v>1</v>
      </c>
      <c r="S16" s="6" t="n">
        <v>378.5</v>
      </c>
      <c r="T16" s="6" t="n">
        <f aca="false">IF(S16=0,"",H16/S16*1000)</f>
        <v>105.680317040951</v>
      </c>
      <c r="U16" s="6" t="n">
        <f aca="false">IF(I16=0,"",H16/I16)</f>
        <v>40</v>
      </c>
      <c r="V16" s="6" t="n">
        <f aca="false">IF(H16=0,"",S16/H16)</f>
        <v>9.4625</v>
      </c>
    </row>
    <row r="17" customFormat="false" ht="15" hidden="false" customHeight="false" outlineLevel="0" collapsed="false">
      <c r="A17" s="3" t="s">
        <v>74</v>
      </c>
      <c r="B17" s="4" t="s">
        <v>75</v>
      </c>
      <c r="C17" s="3" t="s">
        <v>76</v>
      </c>
      <c r="D17" s="3" t="s">
        <v>36</v>
      </c>
      <c r="E17" s="3" t="s">
        <v>77</v>
      </c>
      <c r="F17" s="5" t="n">
        <v>1500</v>
      </c>
      <c r="G17" s="5" t="n">
        <v>3700</v>
      </c>
      <c r="H17" s="3" t="n">
        <v>30</v>
      </c>
      <c r="I17" s="3" t="n">
        <v>2</v>
      </c>
      <c r="J17" s="3" t="n">
        <v>1.1</v>
      </c>
      <c r="K17" s="3" t="n">
        <v>1.2</v>
      </c>
      <c r="L17" s="3" t="n">
        <v>6</v>
      </c>
      <c r="M17" s="3" t="n">
        <v>0.5</v>
      </c>
      <c r="N17" s="3" t="n">
        <v>0.4</v>
      </c>
      <c r="O17" s="3" t="n">
        <v>0.42</v>
      </c>
      <c r="P17" s="3" t="n">
        <v>5</v>
      </c>
      <c r="Q17" s="3" t="n">
        <v>2</v>
      </c>
      <c r="R17" s="3" t="n">
        <v>1</v>
      </c>
      <c r="S17" s="6" t="n">
        <v>754</v>
      </c>
      <c r="T17" s="6" t="n">
        <f aca="false">IF(S17=0,"",H17/S17*1000)</f>
        <v>39.7877984084881</v>
      </c>
      <c r="U17" s="6" t="n">
        <f aca="false">IF(I17=0,"",H17/I17)</f>
        <v>15</v>
      </c>
      <c r="V17" s="6" t="n">
        <f aca="false">IF(H17=0,"",S17/H17)</f>
        <v>25.1333333333333</v>
      </c>
    </row>
    <row r="18" customFormat="false" ht="15" hidden="false" customHeight="false" outlineLevel="0" collapsed="false">
      <c r="A18" s="3" t="s">
        <v>78</v>
      </c>
      <c r="B18" s="4" t="s">
        <v>79</v>
      </c>
      <c r="C18" s="3" t="s">
        <v>80</v>
      </c>
      <c r="D18" s="3" t="s">
        <v>81</v>
      </c>
      <c r="E18" s="3" t="s">
        <v>82</v>
      </c>
      <c r="F18" s="5" t="n">
        <v>3000</v>
      </c>
      <c r="G18" s="5" t="n">
        <v>7700</v>
      </c>
      <c r="H18" s="3" t="n">
        <v>400</v>
      </c>
      <c r="I18" s="3" t="n">
        <v>4</v>
      </c>
      <c r="J18" s="3" t="n">
        <v>2.5</v>
      </c>
      <c r="K18" s="3" t="n">
        <v>3</v>
      </c>
      <c r="L18" s="3" t="n">
        <v>4.3</v>
      </c>
      <c r="M18" s="3" t="n">
        <v>0.9</v>
      </c>
      <c r="N18" s="3" t="n">
        <v>1.1</v>
      </c>
      <c r="O18" s="3" t="n">
        <v>0.75</v>
      </c>
      <c r="P18" s="3" t="n">
        <v>5</v>
      </c>
      <c r="Q18" s="3" t="n">
        <v>4</v>
      </c>
      <c r="R18" s="3" t="n">
        <v>5</v>
      </c>
      <c r="S18" s="6" t="n">
        <v>4111.5</v>
      </c>
      <c r="T18" s="6" t="n">
        <f aca="false">IF(S18=0,"",H18/S18*1000)</f>
        <v>97.2880943694515</v>
      </c>
      <c r="U18" s="6" t="n">
        <f aca="false">IF(I18=0,"",H18/I18)</f>
        <v>100</v>
      </c>
      <c r="V18" s="6" t="n">
        <f aca="false">IF(H18=0,"",S18/H18)</f>
        <v>10.27875</v>
      </c>
    </row>
    <row r="19" customFormat="false" ht="15" hidden="false" customHeight="false" outlineLevel="0" collapsed="false">
      <c r="A19" s="3" t="s">
        <v>83</v>
      </c>
      <c r="B19" s="4" t="s">
        <v>84</v>
      </c>
      <c r="C19" s="3" t="s">
        <v>85</v>
      </c>
      <c r="D19" s="3" t="s">
        <v>81</v>
      </c>
      <c r="E19" s="3" t="s">
        <v>82</v>
      </c>
      <c r="F19" s="5" t="n">
        <v>3000</v>
      </c>
      <c r="G19" s="5" t="n">
        <v>7700</v>
      </c>
      <c r="H19" s="3" t="n">
        <v>300</v>
      </c>
      <c r="I19" s="3" t="n">
        <v>4</v>
      </c>
      <c r="J19" s="3" t="n">
        <v>2.5</v>
      </c>
      <c r="K19" s="3" t="n">
        <v>2.75</v>
      </c>
      <c r="L19" s="3" t="n">
        <v>3.5</v>
      </c>
      <c r="M19" s="3" t="n">
        <v>1.4</v>
      </c>
      <c r="N19" s="3" t="n">
        <v>0.8</v>
      </c>
      <c r="O19" s="3" t="n">
        <v>0.75</v>
      </c>
      <c r="P19" s="3" t="n">
        <v>5</v>
      </c>
      <c r="Q19" s="3" t="n">
        <v>4</v>
      </c>
      <c r="R19" s="3" t="n">
        <v>5</v>
      </c>
      <c r="S19" s="6" t="n">
        <v>7063.5</v>
      </c>
      <c r="T19" s="6" t="n">
        <f aca="false">IF(S19=0,"",H19/S19*1000)</f>
        <v>42.4718623911659</v>
      </c>
      <c r="U19" s="6" t="n">
        <f aca="false">IF(I19=0,"",H19/I19)</f>
        <v>75</v>
      </c>
      <c r="V19" s="6" t="n">
        <f aca="false">IF(H19=0,"",S19/H19)</f>
        <v>23.545</v>
      </c>
    </row>
    <row r="20" customFormat="false" ht="15" hidden="false" customHeight="false" outlineLevel="0" collapsed="false">
      <c r="A20" s="3" t="s">
        <v>86</v>
      </c>
      <c r="B20" s="4" t="s">
        <v>87</v>
      </c>
      <c r="C20" s="3" t="s">
        <v>88</v>
      </c>
      <c r="D20" s="3" t="s">
        <v>81</v>
      </c>
      <c r="E20" s="3" t="s">
        <v>89</v>
      </c>
      <c r="F20" s="5" t="n">
        <v>800</v>
      </c>
      <c r="G20" s="5" t="n">
        <v>5500</v>
      </c>
      <c r="H20" s="3" t="n">
        <v>150</v>
      </c>
      <c r="I20" s="3" t="n">
        <v>4</v>
      </c>
      <c r="J20" s="3" t="n">
        <v>1.3</v>
      </c>
      <c r="K20" s="3" t="n">
        <v>1.5</v>
      </c>
      <c r="L20" s="3" t="n">
        <v>3.3</v>
      </c>
      <c r="M20" s="3" t="n">
        <v>0.55</v>
      </c>
      <c r="N20" s="3" t="n">
        <v>0.2</v>
      </c>
      <c r="O20" s="3" t="n">
        <v>0.58</v>
      </c>
      <c r="P20" s="3" t="n">
        <v>5</v>
      </c>
      <c r="Q20" s="3" t="n">
        <v>2</v>
      </c>
      <c r="R20" s="3" t="n">
        <v>2</v>
      </c>
      <c r="S20" s="6" t="n">
        <v>1708</v>
      </c>
      <c r="T20" s="6" t="n">
        <f aca="false">IF(S20=0,"",H20/S20*1000)</f>
        <v>87.8220140515223</v>
      </c>
      <c r="U20" s="6" t="n">
        <f aca="false">IF(I20=0,"",H20/I20)</f>
        <v>37.5</v>
      </c>
      <c r="V20" s="6" t="n">
        <f aca="false">IF(H20=0,"",S20/H20)</f>
        <v>11.3866666666667</v>
      </c>
    </row>
    <row r="21" customFormat="false" ht="15" hidden="false" customHeight="false" outlineLevel="0" collapsed="false">
      <c r="A21" s="3" t="s">
        <v>90</v>
      </c>
      <c r="B21" s="4" t="s">
        <v>91</v>
      </c>
      <c r="C21" s="3" t="s">
        <v>92</v>
      </c>
      <c r="D21" s="3" t="s">
        <v>81</v>
      </c>
      <c r="E21" s="3" t="s">
        <v>77</v>
      </c>
      <c r="F21" s="5" t="n">
        <v>1500</v>
      </c>
      <c r="G21" s="5" t="n">
        <v>3700</v>
      </c>
      <c r="H21" s="3" t="n">
        <v>140</v>
      </c>
      <c r="I21" s="3" t="n">
        <v>3</v>
      </c>
      <c r="J21" s="3" t="n">
        <v>1.75</v>
      </c>
      <c r="K21" s="3" t="n">
        <v>1.5</v>
      </c>
      <c r="L21" s="3" t="n">
        <v>3.1</v>
      </c>
      <c r="M21" s="3" t="n">
        <v>0.7</v>
      </c>
      <c r="N21" s="3" t="n">
        <v>0.6</v>
      </c>
      <c r="O21" s="3" t="n">
        <v>0.42</v>
      </c>
      <c r="P21" s="3" t="n">
        <v>5</v>
      </c>
      <c r="Q21" s="3" t="n">
        <v>3</v>
      </c>
      <c r="R21" s="3" t="n">
        <v>3</v>
      </c>
      <c r="S21" s="6" t="n">
        <v>940</v>
      </c>
      <c r="T21" s="6" t="n">
        <f aca="false">IF(S21=0,"",H21/S21*1000)</f>
        <v>148.936170212766</v>
      </c>
      <c r="U21" s="6" t="n">
        <f aca="false">IF(I21=0,"",H21/I21)</f>
        <v>46.6666666666667</v>
      </c>
      <c r="V21" s="6" t="n">
        <f aca="false">IF(H21=0,"",S21/H21)</f>
        <v>6.71428571428571</v>
      </c>
    </row>
    <row r="22" customFormat="false" ht="15" hidden="false" customHeight="false" outlineLevel="0" collapsed="false">
      <c r="A22" s="3" t="s">
        <v>93</v>
      </c>
      <c r="B22" s="4" t="s">
        <v>94</v>
      </c>
      <c r="C22" s="3" t="s">
        <v>95</v>
      </c>
      <c r="D22" s="3" t="s">
        <v>81</v>
      </c>
      <c r="E22" s="3" t="s">
        <v>89</v>
      </c>
      <c r="F22" s="5" t="n">
        <v>800</v>
      </c>
      <c r="G22" s="5" t="n">
        <v>5500</v>
      </c>
      <c r="H22" s="3" t="n">
        <v>120</v>
      </c>
      <c r="I22" s="3" t="n">
        <v>3</v>
      </c>
      <c r="J22" s="3" t="n">
        <v>1.3</v>
      </c>
      <c r="K22" s="3" t="n">
        <v>1.5</v>
      </c>
      <c r="L22" s="3" t="n">
        <v>3.7</v>
      </c>
      <c r="M22" s="3" t="n">
        <v>0.55</v>
      </c>
      <c r="N22" s="3" t="n">
        <v>0.2</v>
      </c>
      <c r="O22" s="3" t="n">
        <v>0.58</v>
      </c>
      <c r="P22" s="3" t="n">
        <v>5</v>
      </c>
      <c r="Q22" s="3" t="n">
        <v>2</v>
      </c>
      <c r="R22" s="3" t="n">
        <v>2</v>
      </c>
      <c r="S22" s="6" t="n">
        <v>708</v>
      </c>
      <c r="T22" s="6" t="n">
        <f aca="false">IF(S22=0,"",H22/S22*1000)</f>
        <v>169.491525423729</v>
      </c>
      <c r="U22" s="6" t="n">
        <f aca="false">IF(I22=0,"",H22/I22)</f>
        <v>40</v>
      </c>
      <c r="V22" s="6" t="n">
        <f aca="false">IF(H22=0,"",S22/H22)</f>
        <v>5.9</v>
      </c>
    </row>
    <row r="23" customFormat="false" ht="15" hidden="false" customHeight="false" outlineLevel="0" collapsed="false">
      <c r="A23" s="3" t="s">
        <v>96</v>
      </c>
      <c r="B23" s="4" t="s">
        <v>97</v>
      </c>
      <c r="C23" s="3" t="s">
        <v>98</v>
      </c>
      <c r="D23" s="3" t="s">
        <v>81</v>
      </c>
      <c r="E23" s="3" t="s">
        <v>82</v>
      </c>
      <c r="F23" s="5" t="n">
        <v>3000</v>
      </c>
      <c r="G23" s="5" t="n">
        <v>7700</v>
      </c>
      <c r="H23" s="3" t="n">
        <v>120</v>
      </c>
      <c r="I23" s="3" t="n">
        <v>2</v>
      </c>
      <c r="J23" s="3" t="n">
        <v>2</v>
      </c>
      <c r="K23" s="3" t="n">
        <v>2.5</v>
      </c>
      <c r="L23" s="3" t="n">
        <v>3</v>
      </c>
      <c r="M23" s="3" t="n">
        <v>0.6</v>
      </c>
      <c r="N23" s="3" t="n">
        <v>0.8</v>
      </c>
      <c r="O23" s="3" t="n">
        <v>0.75</v>
      </c>
      <c r="P23" s="3" t="n">
        <v>5</v>
      </c>
      <c r="Q23" s="3" t="n">
        <v>1</v>
      </c>
      <c r="R23" s="3" t="n">
        <v>3</v>
      </c>
      <c r="S23" s="6" t="n">
        <v>1800</v>
      </c>
      <c r="T23" s="6" t="n">
        <f aca="false">IF(S23=0,"",H23/S23*1000)</f>
        <v>66.6666666666667</v>
      </c>
      <c r="U23" s="6" t="n">
        <f aca="false">IF(I23=0,"",H23/I23)</f>
        <v>60</v>
      </c>
      <c r="V23" s="6" t="n">
        <f aca="false">IF(H23=0,"",S23/H23)</f>
        <v>15</v>
      </c>
    </row>
    <row r="24" customFormat="false" ht="15" hidden="false" customHeight="false" outlineLevel="0" collapsed="false">
      <c r="A24" s="3" t="s">
        <v>99</v>
      </c>
      <c r="B24" s="4" t="s">
        <v>100</v>
      </c>
      <c r="C24" s="3" t="s">
        <v>101</v>
      </c>
      <c r="D24" s="3" t="s">
        <v>81</v>
      </c>
      <c r="E24" s="3" t="s">
        <v>89</v>
      </c>
      <c r="F24" s="5" t="n">
        <v>800</v>
      </c>
      <c r="G24" s="5" t="n">
        <v>5500</v>
      </c>
      <c r="H24" s="3" t="n">
        <v>80</v>
      </c>
      <c r="I24" s="3" t="n">
        <v>2</v>
      </c>
      <c r="J24" s="3" t="n">
        <v>1.3</v>
      </c>
      <c r="K24" s="3" t="n">
        <v>1.5</v>
      </c>
      <c r="L24" s="3" t="n">
        <v>4.2</v>
      </c>
      <c r="M24" s="3" t="n">
        <v>0.3</v>
      </c>
      <c r="N24" s="3" t="n">
        <v>0.18</v>
      </c>
      <c r="O24" s="3" t="n">
        <v>0.58</v>
      </c>
      <c r="P24" s="3" t="n">
        <v>5</v>
      </c>
      <c r="Q24" s="3" t="n">
        <v>4</v>
      </c>
      <c r="R24" s="3" t="n">
        <v>2</v>
      </c>
      <c r="S24" s="6" t="n">
        <v>982</v>
      </c>
      <c r="T24" s="6" t="n">
        <f aca="false">IF(S24=0,"",H24/S24*1000)</f>
        <v>81.4663951120163</v>
      </c>
      <c r="U24" s="6" t="n">
        <f aca="false">IF(I24=0,"",H24/I24)</f>
        <v>40</v>
      </c>
      <c r="V24" s="6" t="n">
        <f aca="false">IF(H24=0,"",S24/H24)</f>
        <v>12.275</v>
      </c>
    </row>
    <row r="25" customFormat="false" ht="15" hidden="false" customHeight="false" outlineLevel="0" collapsed="false">
      <c r="A25" s="3" t="s">
        <v>102</v>
      </c>
      <c r="B25" s="4" t="s">
        <v>103</v>
      </c>
      <c r="C25" s="3" t="s">
        <v>104</v>
      </c>
      <c r="D25" s="3" t="s">
        <v>81</v>
      </c>
      <c r="E25" s="3" t="s">
        <v>89</v>
      </c>
      <c r="F25" s="5" t="n">
        <v>800</v>
      </c>
      <c r="G25" s="5" t="n">
        <v>5500</v>
      </c>
      <c r="H25" s="3" t="n">
        <v>80</v>
      </c>
      <c r="I25" s="3" t="n">
        <v>4</v>
      </c>
      <c r="J25" s="3" t="n">
        <v>2.25</v>
      </c>
      <c r="K25" s="3" t="n">
        <v>2</v>
      </c>
      <c r="L25" s="3" t="n">
        <v>3</v>
      </c>
      <c r="M25" s="3" t="n">
        <v>0.3</v>
      </c>
      <c r="N25" s="3" t="n">
        <v>0.4</v>
      </c>
      <c r="O25" s="3" t="n">
        <v>0.58</v>
      </c>
      <c r="P25" s="3" t="n">
        <v>5</v>
      </c>
      <c r="Q25" s="3" t="n">
        <v>2</v>
      </c>
      <c r="R25" s="3" t="n">
        <v>2</v>
      </c>
      <c r="S25" s="6" t="n">
        <v>1170</v>
      </c>
      <c r="T25" s="6" t="n">
        <f aca="false">IF(S25=0,"",H25/S25*1000)</f>
        <v>68.3760683760684</v>
      </c>
      <c r="U25" s="6" t="n">
        <f aca="false">IF(I25=0,"",H25/I25)</f>
        <v>20</v>
      </c>
      <c r="V25" s="6" t="n">
        <f aca="false">IF(H25=0,"",S25/H25)</f>
        <v>14.625</v>
      </c>
    </row>
    <row r="26" customFormat="false" ht="15" hidden="false" customHeight="false" outlineLevel="0" collapsed="false">
      <c r="A26" s="3" t="s">
        <v>105</v>
      </c>
      <c r="B26" s="4" t="s">
        <v>106</v>
      </c>
      <c r="C26" s="3" t="s">
        <v>107</v>
      </c>
      <c r="D26" s="3" t="s">
        <v>108</v>
      </c>
      <c r="E26" s="3" t="s">
        <v>109</v>
      </c>
      <c r="F26" s="5" t="n">
        <v>1000</v>
      </c>
      <c r="G26" s="5" t="n">
        <v>9500</v>
      </c>
      <c r="H26" s="3" t="n">
        <v>500</v>
      </c>
      <c r="I26" s="3" t="n">
        <v>5</v>
      </c>
      <c r="J26" s="3" t="n">
        <v>3</v>
      </c>
      <c r="K26" s="3" t="n">
        <v>5</v>
      </c>
      <c r="L26" s="3" t="n">
        <v>2.5</v>
      </c>
      <c r="M26" s="3" t="n">
        <v>1</v>
      </c>
      <c r="N26" s="3" t="n">
        <v>1.3</v>
      </c>
      <c r="O26" s="3" t="n">
        <v>0.92</v>
      </c>
      <c r="P26" s="3" t="n">
        <v>5</v>
      </c>
      <c r="Q26" s="3" t="n">
        <v>5</v>
      </c>
      <c r="R26" s="3" t="n">
        <v>7</v>
      </c>
      <c r="S26" s="6" t="n">
        <v>11008</v>
      </c>
      <c r="T26" s="6" t="n">
        <f aca="false">IF(S26=0,"",H26/S26*1000)</f>
        <v>45.421511627907</v>
      </c>
      <c r="U26" s="6" t="n">
        <f aca="false">IF(I26=0,"",H26/I26)</f>
        <v>100</v>
      </c>
      <c r="V26" s="6" t="n">
        <f aca="false">IF(H26=0,"",S26/H26)</f>
        <v>22.016</v>
      </c>
    </row>
    <row r="27" customFormat="false" ht="15" hidden="false" customHeight="false" outlineLevel="0" collapsed="false">
      <c r="A27" s="3" t="s">
        <v>110</v>
      </c>
      <c r="B27" s="4" t="s">
        <v>111</v>
      </c>
      <c r="C27" s="3" t="s">
        <v>112</v>
      </c>
      <c r="D27" s="3" t="s">
        <v>108</v>
      </c>
      <c r="E27" s="3" t="s">
        <v>113</v>
      </c>
      <c r="F27" s="5" t="n">
        <v>6000</v>
      </c>
      <c r="G27" s="5" t="n">
        <v>19500</v>
      </c>
      <c r="H27" s="3" t="n">
        <v>500</v>
      </c>
      <c r="I27" s="3" t="n">
        <v>8</v>
      </c>
      <c r="J27" s="3" t="n">
        <v>3.5</v>
      </c>
      <c r="K27" s="3" t="n">
        <v>5.7</v>
      </c>
      <c r="L27" s="3" t="n">
        <v>4</v>
      </c>
      <c r="M27" s="3" t="n">
        <v>1.8</v>
      </c>
      <c r="N27" s="3" t="n">
        <v>1.2</v>
      </c>
      <c r="O27" s="3" t="n">
        <v>1</v>
      </c>
      <c r="P27" s="3" t="n">
        <v>5</v>
      </c>
      <c r="Q27" s="3" t="n">
        <v>4</v>
      </c>
      <c r="R27" s="3" t="n">
        <v>11</v>
      </c>
      <c r="S27" s="6" t="n">
        <v>19020</v>
      </c>
      <c r="T27" s="6" t="n">
        <f aca="false">IF(S27=0,"",H27/S27*1000)</f>
        <v>26.2881177707676</v>
      </c>
      <c r="U27" s="6" t="n">
        <f aca="false">IF(I27=0,"",H27/I27)</f>
        <v>62.5</v>
      </c>
      <c r="V27" s="6" t="n">
        <f aca="false">IF(H27=0,"",S27/H27)</f>
        <v>38.04</v>
      </c>
    </row>
    <row r="28" customFormat="false" ht="15" hidden="false" customHeight="false" outlineLevel="0" collapsed="false">
      <c r="A28" s="3" t="s">
        <v>114</v>
      </c>
      <c r="B28" s="4" t="s">
        <v>115</v>
      </c>
      <c r="C28" s="3" t="s">
        <v>116</v>
      </c>
      <c r="D28" s="3" t="s">
        <v>108</v>
      </c>
      <c r="E28" s="3" t="s">
        <v>109</v>
      </c>
      <c r="F28" s="5" t="n">
        <v>1000</v>
      </c>
      <c r="G28" s="5" t="n">
        <v>9500</v>
      </c>
      <c r="H28" s="3" t="n">
        <v>480</v>
      </c>
      <c r="I28" s="3" t="n">
        <v>7</v>
      </c>
      <c r="J28" s="3" t="n">
        <v>3.3</v>
      </c>
      <c r="K28" s="3" t="n">
        <v>5.3</v>
      </c>
      <c r="L28" s="3" t="n">
        <v>2.2</v>
      </c>
      <c r="M28" s="3" t="n">
        <v>2</v>
      </c>
      <c r="N28" s="3" t="n">
        <v>1.5</v>
      </c>
      <c r="O28" s="3" t="n">
        <v>0.92</v>
      </c>
      <c r="P28" s="3" t="n">
        <v>5</v>
      </c>
      <c r="Q28" s="3" t="n">
        <v>4</v>
      </c>
      <c r="R28" s="3" t="n">
        <v>7</v>
      </c>
      <c r="S28" s="6" t="n">
        <v>7715</v>
      </c>
      <c r="T28" s="6" t="n">
        <f aca="false">IF(S28=0,"",H28/S28*1000)</f>
        <v>62.2164614387557</v>
      </c>
      <c r="U28" s="6" t="n">
        <f aca="false">IF(I28=0,"",H28/I28)</f>
        <v>68.5714285714286</v>
      </c>
      <c r="V28" s="6" t="n">
        <f aca="false">IF(H28=0,"",S28/H28)</f>
        <v>16.0729166666667</v>
      </c>
    </row>
    <row r="29" customFormat="false" ht="15" hidden="false" customHeight="false" outlineLevel="0" collapsed="false">
      <c r="A29" s="3" t="s">
        <v>117</v>
      </c>
      <c r="B29" s="4" t="s">
        <v>118</v>
      </c>
      <c r="C29" s="3" t="s">
        <v>119</v>
      </c>
      <c r="D29" s="3" t="s">
        <v>108</v>
      </c>
      <c r="E29" s="3" t="s">
        <v>109</v>
      </c>
      <c r="F29" s="5" t="n">
        <v>1000</v>
      </c>
      <c r="G29" s="5" t="n">
        <v>9500</v>
      </c>
      <c r="H29" s="3" t="n">
        <v>420</v>
      </c>
      <c r="I29" s="3" t="n">
        <v>5</v>
      </c>
      <c r="J29" s="3" t="n">
        <v>3</v>
      </c>
      <c r="K29" s="3" t="n">
        <v>5</v>
      </c>
      <c r="L29" s="3" t="n">
        <v>2.5</v>
      </c>
      <c r="M29" s="3" t="n">
        <v>1.5</v>
      </c>
      <c r="N29" s="3" t="n">
        <v>1.3</v>
      </c>
      <c r="O29" s="3" t="n">
        <v>0.92</v>
      </c>
      <c r="P29" s="3" t="n">
        <v>5</v>
      </c>
      <c r="Q29" s="3" t="n">
        <v>4</v>
      </c>
      <c r="R29" s="3" t="n">
        <v>7</v>
      </c>
      <c r="S29" s="6" t="n">
        <v>6710</v>
      </c>
      <c r="T29" s="6" t="n">
        <f aca="false">IF(S29=0,"",H29/S29*1000)</f>
        <v>62.5931445603577</v>
      </c>
      <c r="U29" s="6" t="n">
        <f aca="false">IF(I29=0,"",H29/I29)</f>
        <v>84</v>
      </c>
      <c r="V29" s="6" t="n">
        <f aca="false">IF(H29=0,"",S29/H29)</f>
        <v>15.9761904761905</v>
      </c>
    </row>
    <row r="30" customFormat="false" ht="15" hidden="false" customHeight="false" outlineLevel="0" collapsed="false">
      <c r="A30" s="3" t="s">
        <v>120</v>
      </c>
      <c r="B30" s="4" t="s">
        <v>121</v>
      </c>
      <c r="C30" s="3" t="s">
        <v>122</v>
      </c>
      <c r="D30" s="3" t="s">
        <v>108</v>
      </c>
      <c r="E30" s="3" t="s">
        <v>109</v>
      </c>
      <c r="F30" s="5" t="n">
        <v>1000</v>
      </c>
      <c r="G30" s="5" t="n">
        <v>9500</v>
      </c>
      <c r="H30" s="3" t="n">
        <v>250</v>
      </c>
      <c r="I30" s="3" t="n">
        <v>5</v>
      </c>
      <c r="J30" s="3" t="n">
        <v>3</v>
      </c>
      <c r="K30" s="3" t="n">
        <v>5</v>
      </c>
      <c r="L30" s="3" t="n">
        <v>2.5</v>
      </c>
      <c r="M30" s="3" t="n">
        <v>1.5</v>
      </c>
      <c r="N30" s="3" t="n">
        <v>1.3</v>
      </c>
      <c r="O30" s="3" t="n">
        <v>0.92</v>
      </c>
      <c r="P30" s="3" t="n">
        <v>5</v>
      </c>
      <c r="Q30" s="3" t="n">
        <v>4</v>
      </c>
      <c r="R30" s="3" t="n">
        <v>7</v>
      </c>
      <c r="S30" s="6" t="n">
        <v>7664</v>
      </c>
      <c r="T30" s="6" t="n">
        <f aca="false">IF(S30=0,"",H30/S30*1000)</f>
        <v>32.6200417536534</v>
      </c>
      <c r="U30" s="6" t="n">
        <f aca="false">IF(I30=0,"",H30/I30)</f>
        <v>50</v>
      </c>
      <c r="V30" s="6" t="n">
        <f aca="false">IF(H30=0,"",S30/H30)</f>
        <v>30.656</v>
      </c>
    </row>
  </sheetData>
  <autoFilter ref="A1:V30"/>
  <conditionalFormatting sqref="T2:T30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U2:U30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19" min="2" style="0" width="11"/>
    <col collapsed="false" customWidth="true" hidden="false" outlineLevel="0" max="20" min="20" style="0" width="10"/>
    <col collapsed="false" customWidth="true" hidden="false" outlineLevel="0" max="21" min="21" style="0" width="14"/>
  </cols>
  <sheetData>
    <row r="1" customFormat="false" ht="33.75" hidden="false" customHeight="true" outlineLevel="0" collapsed="false">
      <c r="A1" s="1" t="s">
        <v>0</v>
      </c>
      <c r="B1" s="1" t="s">
        <v>1</v>
      </c>
      <c r="C1" s="1" t="s">
        <v>3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  <c r="I1" s="1" t="s">
        <v>128</v>
      </c>
      <c r="J1" s="1" t="s">
        <v>129</v>
      </c>
      <c r="K1" s="1" t="s">
        <v>130</v>
      </c>
      <c r="L1" s="1" t="s">
        <v>131</v>
      </c>
      <c r="M1" s="1" t="s">
        <v>132</v>
      </c>
      <c r="N1" s="1" t="s">
        <v>133</v>
      </c>
      <c r="O1" s="1" t="s">
        <v>134</v>
      </c>
      <c r="P1" s="1" t="s">
        <v>135</v>
      </c>
      <c r="Q1" s="1" t="s">
        <v>136</v>
      </c>
      <c r="R1" s="1" t="s">
        <v>137</v>
      </c>
      <c r="S1" s="1" t="s">
        <v>18</v>
      </c>
      <c r="T1" s="1" t="s">
        <v>7</v>
      </c>
      <c r="U1" s="2" t="s">
        <v>19</v>
      </c>
    </row>
    <row r="2" customFormat="false" ht="15" hidden="false" customHeight="false" outlineLevel="0" collapsed="false">
      <c r="A2" s="7" t="s">
        <v>138</v>
      </c>
      <c r="B2" s="7"/>
      <c r="C2" s="8" t="s">
        <v>139</v>
      </c>
      <c r="D2" s="7" t="n">
        <f aca="false">單價表!B2</f>
        <v>1.9</v>
      </c>
      <c r="E2" s="7" t="n">
        <f aca="false">單價表!B3</f>
        <v>8</v>
      </c>
      <c r="F2" s="7" t="n">
        <f aca="false">單價表!B4</f>
        <v>2</v>
      </c>
      <c r="G2" s="7" t="n">
        <f aca="false">單價表!B5</f>
        <v>5</v>
      </c>
      <c r="H2" s="7" t="n">
        <f aca="false">單價表!B6</f>
        <v>4</v>
      </c>
      <c r="I2" s="7" t="n">
        <f aca="false">單價表!B7</f>
        <v>5</v>
      </c>
      <c r="J2" s="7" t="n">
        <f aca="false">單價表!B8</f>
        <v>1.3</v>
      </c>
      <c r="K2" s="7" t="n">
        <f aca="false">單價表!B9</f>
        <v>32</v>
      </c>
      <c r="L2" s="7" t="n">
        <f aca="false">單價表!B10</f>
        <v>60</v>
      </c>
      <c r="M2" s="7" t="n">
        <f aca="false">單價表!B11</f>
        <v>200</v>
      </c>
      <c r="N2" s="7" t="n">
        <f aca="false">單價表!B12</f>
        <v>1000</v>
      </c>
      <c r="O2" s="7" t="n">
        <f aca="false">單價表!B13</f>
        <v>1400</v>
      </c>
      <c r="P2" s="7" t="n">
        <f aca="false">單價表!B14</f>
        <v>2000</v>
      </c>
      <c r="Q2" s="7" t="n">
        <f aca="false">單價表!B15</f>
        <v>600</v>
      </c>
      <c r="R2" s="7" t="n">
        <f aca="false">單價表!B16</f>
        <v>350</v>
      </c>
      <c r="S2" s="7"/>
      <c r="T2" s="7"/>
      <c r="U2" s="7"/>
    </row>
    <row r="3" customFormat="false" ht="15" hidden="false" customHeight="false" outlineLevel="0" collapsed="false">
      <c r="A3" s="3" t="s">
        <v>22</v>
      </c>
      <c r="B3" s="4" t="s">
        <v>23</v>
      </c>
      <c r="C3" s="3" t="s">
        <v>25</v>
      </c>
      <c r="D3" s="3" t="n">
        <v>75</v>
      </c>
      <c r="E3" s="3"/>
      <c r="F3" s="3"/>
      <c r="G3" s="3"/>
      <c r="H3" s="3"/>
      <c r="I3" s="3"/>
      <c r="J3" s="3"/>
      <c r="K3" s="3" t="n">
        <v>6</v>
      </c>
      <c r="L3" s="3"/>
      <c r="M3" s="3"/>
      <c r="N3" s="3" t="n">
        <v>1</v>
      </c>
      <c r="O3" s="3"/>
      <c r="P3" s="3"/>
      <c r="Q3" s="3"/>
      <c r="R3" s="3"/>
      <c r="S3" s="6" t="n">
        <f aca="false">SUMPRODUCT(D3:R3,D$2:R$2)</f>
        <v>1334.5</v>
      </c>
      <c r="T3" s="3" t="n">
        <f aca="false">機兵總覽!H2</f>
        <v>40</v>
      </c>
      <c r="U3" s="6" t="n">
        <f aca="false">IF(S3=0,"",T3/S3*1000)</f>
        <v>29.9737729486699</v>
      </c>
    </row>
    <row r="4" customFormat="false" ht="15" hidden="false" customHeight="false" outlineLevel="0" collapsed="false">
      <c r="A4" s="3" t="s">
        <v>27</v>
      </c>
      <c r="B4" s="4" t="s">
        <v>28</v>
      </c>
      <c r="C4" s="3" t="s">
        <v>25</v>
      </c>
      <c r="D4" s="3" t="n">
        <v>75</v>
      </c>
      <c r="E4" s="3"/>
      <c r="F4" s="3"/>
      <c r="G4" s="3"/>
      <c r="H4" s="3"/>
      <c r="I4" s="3"/>
      <c r="J4" s="3"/>
      <c r="K4" s="3" t="n">
        <v>6</v>
      </c>
      <c r="L4" s="3"/>
      <c r="M4" s="3"/>
      <c r="N4" s="3"/>
      <c r="O4" s="3"/>
      <c r="P4" s="3"/>
      <c r="Q4" s="3"/>
      <c r="R4" s="3"/>
      <c r="S4" s="6" t="n">
        <f aca="false">SUMPRODUCT(D4:R4,D$2:R$2)</f>
        <v>334.5</v>
      </c>
      <c r="T4" s="3" t="n">
        <f aca="false">機兵總覽!H3</f>
        <v>20</v>
      </c>
      <c r="U4" s="6" t="n">
        <f aca="false">IF(S4=0,"",T4/S4*1000)</f>
        <v>59.7907324364724</v>
      </c>
    </row>
    <row r="5" customFormat="false" ht="15" hidden="false" customHeight="false" outlineLevel="0" collapsed="false">
      <c r="A5" s="3" t="s">
        <v>30</v>
      </c>
      <c r="B5" s="4" t="s">
        <v>31</v>
      </c>
      <c r="C5" s="3" t="s">
        <v>25</v>
      </c>
      <c r="D5" s="3" t="n">
        <v>100</v>
      </c>
      <c r="E5" s="3"/>
      <c r="F5" s="3"/>
      <c r="G5" s="3"/>
      <c r="H5" s="3"/>
      <c r="I5" s="3"/>
      <c r="J5" s="3"/>
      <c r="K5" s="3" t="n">
        <v>6</v>
      </c>
      <c r="L5" s="3"/>
      <c r="M5" s="3"/>
      <c r="N5" s="3"/>
      <c r="O5" s="3"/>
      <c r="P5" s="3"/>
      <c r="Q5" s="3"/>
      <c r="R5" s="3"/>
      <c r="S5" s="6" t="n">
        <f aca="false">SUMPRODUCT(D5:R5,D$2:R$2)</f>
        <v>382</v>
      </c>
      <c r="T5" s="3" t="n">
        <f aca="false">機兵總覽!H4</f>
        <v>20</v>
      </c>
      <c r="U5" s="6" t="n">
        <f aca="false">IF(S5=0,"",T5/S5*1000)</f>
        <v>52.3560209424084</v>
      </c>
    </row>
    <row r="6" customFormat="false" ht="15" hidden="false" customHeight="false" outlineLevel="0" collapsed="false">
      <c r="A6" s="3" t="s">
        <v>33</v>
      </c>
      <c r="B6" s="4" t="s">
        <v>34</v>
      </c>
      <c r="C6" s="3" t="s">
        <v>36</v>
      </c>
      <c r="D6" s="3"/>
      <c r="E6" s="3" t="n">
        <v>200</v>
      </c>
      <c r="F6" s="3"/>
      <c r="G6" s="3"/>
      <c r="H6" s="3" t="n">
        <v>35</v>
      </c>
      <c r="I6" s="3"/>
      <c r="J6" s="3"/>
      <c r="K6" s="3" t="n">
        <v>3</v>
      </c>
      <c r="L6" s="3" t="n">
        <v>3</v>
      </c>
      <c r="M6" s="3"/>
      <c r="N6" s="3"/>
      <c r="O6" s="3"/>
      <c r="P6" s="3"/>
      <c r="Q6" s="3"/>
      <c r="R6" s="3"/>
      <c r="S6" s="6" t="n">
        <f aca="false">SUMPRODUCT(D6:R6,D$2:R$2)</f>
        <v>2016</v>
      </c>
      <c r="T6" s="3" t="n">
        <f aca="false">機兵總覽!H5</f>
        <v>300</v>
      </c>
      <c r="U6" s="6" t="n">
        <f aca="false">IF(S6=0,"",T6/S6*1000)</f>
        <v>148.809523809524</v>
      </c>
    </row>
    <row r="7" customFormat="false" ht="15" hidden="false" customHeight="false" outlineLevel="0" collapsed="false">
      <c r="A7" s="3" t="s">
        <v>38</v>
      </c>
      <c r="B7" s="4" t="s">
        <v>39</v>
      </c>
      <c r="C7" s="3" t="s">
        <v>36</v>
      </c>
      <c r="D7" s="3"/>
      <c r="E7" s="3" t="n">
        <v>140</v>
      </c>
      <c r="F7" s="3"/>
      <c r="G7" s="3"/>
      <c r="H7" s="3" t="n">
        <v>25</v>
      </c>
      <c r="I7" s="3"/>
      <c r="J7" s="3"/>
      <c r="K7" s="3" t="n">
        <v>3</v>
      </c>
      <c r="L7" s="3" t="n">
        <v>3</v>
      </c>
      <c r="M7" s="3"/>
      <c r="N7" s="3"/>
      <c r="O7" s="3" t="n">
        <v>1</v>
      </c>
      <c r="P7" s="3"/>
      <c r="Q7" s="3"/>
      <c r="R7" s="3"/>
      <c r="S7" s="6" t="n">
        <f aca="false">SUMPRODUCT(D7:R7,D$2:R$2)</f>
        <v>2896</v>
      </c>
      <c r="T7" s="3" t="n">
        <f aca="false">機兵總覽!H6</f>
        <v>210</v>
      </c>
      <c r="U7" s="6" t="n">
        <f aca="false">IF(S7=0,"",T7/S7*1000)</f>
        <v>72.5138121546961</v>
      </c>
    </row>
    <row r="8" customFormat="false" ht="15" hidden="false" customHeight="false" outlineLevel="0" collapsed="false">
      <c r="A8" s="3" t="s">
        <v>41</v>
      </c>
      <c r="B8" s="4" t="s">
        <v>42</v>
      </c>
      <c r="C8" s="3" t="s">
        <v>36</v>
      </c>
      <c r="D8" s="3"/>
      <c r="E8" s="3" t="n">
        <v>110</v>
      </c>
      <c r="F8" s="3"/>
      <c r="G8" s="3" t="n">
        <v>50</v>
      </c>
      <c r="H8" s="3"/>
      <c r="I8" s="3"/>
      <c r="J8" s="3"/>
      <c r="K8" s="3" t="n">
        <v>3</v>
      </c>
      <c r="L8" s="3" t="n">
        <v>3</v>
      </c>
      <c r="M8" s="3" t="n">
        <v>2</v>
      </c>
      <c r="N8" s="3"/>
      <c r="O8" s="3"/>
      <c r="P8" s="3"/>
      <c r="Q8" s="3"/>
      <c r="R8" s="3"/>
      <c r="S8" s="6" t="n">
        <f aca="false">SUMPRODUCT(D8:R8,D$2:R$2)</f>
        <v>1806</v>
      </c>
      <c r="T8" s="3" t="n">
        <f aca="false">機兵總覽!H7</f>
        <v>200</v>
      </c>
      <c r="U8" s="6" t="n">
        <f aca="false">IF(S8=0,"",T8/S8*1000)</f>
        <v>110.741971207087</v>
      </c>
    </row>
    <row r="9" customFormat="false" ht="15" hidden="false" customHeight="false" outlineLevel="0" collapsed="false">
      <c r="A9" s="3" t="s">
        <v>45</v>
      </c>
      <c r="B9" s="4" t="s">
        <v>46</v>
      </c>
      <c r="C9" s="3" t="s">
        <v>36</v>
      </c>
      <c r="D9" s="3"/>
      <c r="E9" s="3" t="n">
        <v>200</v>
      </c>
      <c r="F9" s="3"/>
      <c r="G9" s="3"/>
      <c r="H9" s="3" t="n">
        <v>25</v>
      </c>
      <c r="I9" s="3"/>
      <c r="J9" s="3" t="n">
        <v>75</v>
      </c>
      <c r="K9" s="3" t="n">
        <v>3</v>
      </c>
      <c r="L9" s="3" t="n">
        <v>3</v>
      </c>
      <c r="M9" s="3"/>
      <c r="N9" s="3"/>
      <c r="O9" s="3"/>
      <c r="P9" s="3"/>
      <c r="Q9" s="3"/>
      <c r="R9" s="3"/>
      <c r="S9" s="6" t="n">
        <f aca="false">SUMPRODUCT(D9:R9,D$2:R$2)</f>
        <v>2073.5</v>
      </c>
      <c r="T9" s="3" t="n">
        <f aca="false">機兵總覽!H8</f>
        <v>200</v>
      </c>
      <c r="U9" s="6" t="n">
        <f aca="false">IF(S9=0,"",T9/S9*1000)</f>
        <v>96.455268869062</v>
      </c>
    </row>
    <row r="10" customFormat="false" ht="15" hidden="false" customHeight="false" outlineLevel="0" collapsed="false">
      <c r="A10" s="3" t="s">
        <v>48</v>
      </c>
      <c r="B10" s="4" t="s">
        <v>49</v>
      </c>
      <c r="C10" s="3" t="s">
        <v>36</v>
      </c>
      <c r="D10" s="3"/>
      <c r="E10" s="3" t="n">
        <v>110</v>
      </c>
      <c r="F10" s="3"/>
      <c r="G10" s="3"/>
      <c r="H10" s="3" t="n">
        <v>25</v>
      </c>
      <c r="I10" s="3"/>
      <c r="J10" s="3"/>
      <c r="K10" s="3" t="n">
        <v>3</v>
      </c>
      <c r="L10" s="3" t="n">
        <v>3</v>
      </c>
      <c r="M10" s="3"/>
      <c r="N10" s="3"/>
      <c r="O10" s="3"/>
      <c r="P10" s="3"/>
      <c r="Q10" s="3"/>
      <c r="R10" s="3"/>
      <c r="S10" s="6" t="n">
        <f aca="false">SUMPRODUCT(D10:R10,D$2:R$2)</f>
        <v>1256</v>
      </c>
      <c r="T10" s="3" t="n">
        <f aca="false">機兵總覽!H9</f>
        <v>180</v>
      </c>
      <c r="U10" s="6" t="n">
        <f aca="false">IF(S10=0,"",T10/S10*1000)</f>
        <v>143.312101910828</v>
      </c>
    </row>
    <row r="11" customFormat="false" ht="15" hidden="false" customHeight="false" outlineLevel="0" collapsed="false">
      <c r="A11" s="3" t="s">
        <v>51</v>
      </c>
      <c r="B11" s="4" t="s">
        <v>52</v>
      </c>
      <c r="C11" s="3" t="s">
        <v>36</v>
      </c>
      <c r="D11" s="3" t="n">
        <v>100</v>
      </c>
      <c r="E11" s="3" t="n">
        <v>35</v>
      </c>
      <c r="F11" s="3"/>
      <c r="G11" s="3"/>
      <c r="H11" s="3" t="n">
        <v>25</v>
      </c>
      <c r="I11" s="3"/>
      <c r="J11" s="3"/>
      <c r="K11" s="3" t="n">
        <v>3</v>
      </c>
      <c r="L11" s="3" t="n">
        <v>3</v>
      </c>
      <c r="M11" s="3"/>
      <c r="N11" s="3"/>
      <c r="O11" s="3"/>
      <c r="P11" s="3"/>
      <c r="Q11" s="3"/>
      <c r="R11" s="3"/>
      <c r="S11" s="6" t="n">
        <f aca="false">SUMPRODUCT(D11:R11,D$2:R$2)</f>
        <v>846</v>
      </c>
      <c r="T11" s="3" t="n">
        <f aca="false">機兵總覽!H10</f>
        <v>180</v>
      </c>
      <c r="U11" s="6" t="n">
        <f aca="false">IF(S11=0,"",T11/S11*1000)</f>
        <v>212.765957446809</v>
      </c>
    </row>
    <row r="12" customFormat="false" ht="15" hidden="false" customHeight="false" outlineLevel="0" collapsed="false">
      <c r="A12" s="3" t="s">
        <v>55</v>
      </c>
      <c r="B12" s="4" t="s">
        <v>56</v>
      </c>
      <c r="C12" s="3" t="s">
        <v>36</v>
      </c>
      <c r="D12" s="3"/>
      <c r="E12" s="3" t="n">
        <v>125</v>
      </c>
      <c r="F12" s="3"/>
      <c r="G12" s="3"/>
      <c r="H12" s="3" t="n">
        <v>25</v>
      </c>
      <c r="I12" s="3"/>
      <c r="J12" s="3"/>
      <c r="K12" s="3" t="n">
        <v>3</v>
      </c>
      <c r="L12" s="3" t="n">
        <v>3</v>
      </c>
      <c r="M12" s="3"/>
      <c r="N12" s="3"/>
      <c r="O12" s="3"/>
      <c r="P12" s="3"/>
      <c r="Q12" s="3"/>
      <c r="R12" s="3"/>
      <c r="S12" s="6" t="n">
        <f aca="false">SUMPRODUCT(D12:R12,D$2:R$2)</f>
        <v>1376</v>
      </c>
      <c r="T12" s="3" t="n">
        <f aca="false">機兵總覽!H11</f>
        <v>150</v>
      </c>
      <c r="U12" s="6" t="n">
        <f aca="false">IF(S12=0,"",T12/S12*1000)</f>
        <v>109.011627906977</v>
      </c>
    </row>
    <row r="13" customFormat="false" ht="15" hidden="false" customHeight="false" outlineLevel="0" collapsed="false">
      <c r="A13" s="3" t="s">
        <v>58</v>
      </c>
      <c r="B13" s="4" t="s">
        <v>59</v>
      </c>
      <c r="C13" s="3" t="s">
        <v>36</v>
      </c>
      <c r="D13" s="3"/>
      <c r="E13" s="3" t="n">
        <v>150</v>
      </c>
      <c r="F13" s="3"/>
      <c r="G13" s="3"/>
      <c r="H13" s="3" t="n">
        <v>25</v>
      </c>
      <c r="I13" s="3"/>
      <c r="J13" s="3"/>
      <c r="K13" s="3" t="n">
        <v>3</v>
      </c>
      <c r="L13" s="3" t="n">
        <v>3</v>
      </c>
      <c r="M13" s="3"/>
      <c r="N13" s="3"/>
      <c r="O13" s="3"/>
      <c r="P13" s="3"/>
      <c r="Q13" s="3"/>
      <c r="R13" s="3"/>
      <c r="S13" s="6" t="n">
        <f aca="false">SUMPRODUCT(D13:R13,D$2:R$2)</f>
        <v>1576</v>
      </c>
      <c r="T13" s="3" t="n">
        <f aca="false">機兵總覽!H12</f>
        <v>150</v>
      </c>
      <c r="U13" s="6" t="n">
        <f aca="false">IF(S13=0,"",T13/S13*1000)</f>
        <v>95.1776649746193</v>
      </c>
    </row>
    <row r="14" customFormat="false" ht="15" hidden="false" customHeight="false" outlineLevel="0" collapsed="false">
      <c r="A14" s="3" t="s">
        <v>61</v>
      </c>
      <c r="B14" s="4" t="s">
        <v>62</v>
      </c>
      <c r="C14" s="3" t="s">
        <v>36</v>
      </c>
      <c r="D14" s="3" t="n">
        <v>120</v>
      </c>
      <c r="E14" s="3" t="n">
        <v>25</v>
      </c>
      <c r="F14" s="3"/>
      <c r="G14" s="3"/>
      <c r="H14" s="3" t="n">
        <v>15</v>
      </c>
      <c r="I14" s="3"/>
      <c r="J14" s="3"/>
      <c r="K14" s="3" t="n">
        <v>5</v>
      </c>
      <c r="L14" s="3"/>
      <c r="M14" s="3"/>
      <c r="N14" s="3"/>
      <c r="O14" s="3"/>
      <c r="P14" s="3"/>
      <c r="Q14" s="3"/>
      <c r="R14" s="3"/>
      <c r="S14" s="6" t="n">
        <f aca="false">SUMPRODUCT(D14:R14,D$2:R$2)</f>
        <v>648</v>
      </c>
      <c r="T14" s="3" t="n">
        <f aca="false">機兵總覽!H13</f>
        <v>120</v>
      </c>
      <c r="U14" s="6" t="n">
        <f aca="false">IF(S14=0,"",T14/S14*1000)</f>
        <v>185.185185185185</v>
      </c>
    </row>
    <row r="15" customFormat="false" ht="15" hidden="false" customHeight="false" outlineLevel="0" collapsed="false">
      <c r="A15" s="3" t="s">
        <v>65</v>
      </c>
      <c r="B15" s="4" t="s">
        <v>66</v>
      </c>
      <c r="C15" s="3" t="s">
        <v>36</v>
      </c>
      <c r="D15" s="3" t="n">
        <v>100</v>
      </c>
      <c r="E15" s="3" t="n">
        <v>50</v>
      </c>
      <c r="F15" s="3"/>
      <c r="G15" s="3"/>
      <c r="H15" s="3" t="n">
        <v>15</v>
      </c>
      <c r="I15" s="3"/>
      <c r="J15" s="3"/>
      <c r="K15" s="3" t="n">
        <v>3</v>
      </c>
      <c r="L15" s="3" t="n">
        <v>3</v>
      </c>
      <c r="M15" s="3"/>
      <c r="N15" s="3"/>
      <c r="O15" s="3"/>
      <c r="P15" s="3"/>
      <c r="Q15" s="3"/>
      <c r="R15" s="3"/>
      <c r="S15" s="6" t="n">
        <f aca="false">SUMPRODUCT(D15:R15,D$2:R$2)</f>
        <v>926</v>
      </c>
      <c r="T15" s="3" t="n">
        <f aca="false">機兵總覽!H14</f>
        <v>120</v>
      </c>
      <c r="U15" s="6" t="n">
        <f aca="false">IF(S15=0,"",T15/S15*1000)</f>
        <v>129.589632829374</v>
      </c>
    </row>
    <row r="16" customFormat="false" ht="15" hidden="false" customHeight="false" outlineLevel="0" collapsed="false">
      <c r="A16" s="3" t="s">
        <v>68</v>
      </c>
      <c r="B16" s="4" t="s">
        <v>69</v>
      </c>
      <c r="C16" s="3" t="s">
        <v>36</v>
      </c>
      <c r="D16" s="3" t="n">
        <v>115</v>
      </c>
      <c r="E16" s="3"/>
      <c r="F16" s="3"/>
      <c r="G16" s="3"/>
      <c r="H16" s="3"/>
      <c r="I16" s="3"/>
      <c r="J16" s="3"/>
      <c r="K16" s="3" t="n">
        <v>5</v>
      </c>
      <c r="L16" s="3"/>
      <c r="M16" s="3"/>
      <c r="N16" s="3" t="n">
        <v>1</v>
      </c>
      <c r="O16" s="3"/>
      <c r="P16" s="3"/>
      <c r="Q16" s="3"/>
      <c r="R16" s="3"/>
      <c r="S16" s="6" t="n">
        <f aca="false">SUMPRODUCT(D16:R16,D$2:R$2)</f>
        <v>1378.5</v>
      </c>
      <c r="T16" s="3" t="n">
        <f aca="false">機兵總覽!H15</f>
        <v>75</v>
      </c>
      <c r="U16" s="6" t="n">
        <f aca="false">IF(S16=0,"",T16/S16*1000)</f>
        <v>54.4069640914037</v>
      </c>
    </row>
    <row r="17" customFormat="false" ht="15" hidden="false" customHeight="false" outlineLevel="0" collapsed="false">
      <c r="A17" s="3" t="s">
        <v>71</v>
      </c>
      <c r="B17" s="4" t="s">
        <v>72</v>
      </c>
      <c r="C17" s="3" t="s">
        <v>36</v>
      </c>
      <c r="D17" s="3" t="n">
        <v>115</v>
      </c>
      <c r="E17" s="3"/>
      <c r="F17" s="3"/>
      <c r="G17" s="3"/>
      <c r="H17" s="3"/>
      <c r="I17" s="3"/>
      <c r="J17" s="3"/>
      <c r="K17" s="3" t="n">
        <v>5</v>
      </c>
      <c r="L17" s="3"/>
      <c r="M17" s="3"/>
      <c r="N17" s="3"/>
      <c r="O17" s="3"/>
      <c r="P17" s="3"/>
      <c r="Q17" s="3"/>
      <c r="R17" s="3"/>
      <c r="S17" s="6" t="n">
        <f aca="false">SUMPRODUCT(D17:R17,D$2:R$2)</f>
        <v>378.5</v>
      </c>
      <c r="T17" s="3" t="n">
        <f aca="false">機兵總覽!H16</f>
        <v>40</v>
      </c>
      <c r="U17" s="6" t="n">
        <f aca="false">IF(S17=0,"",T17/S17*1000)</f>
        <v>105.680317040951</v>
      </c>
    </row>
    <row r="18" customFormat="false" ht="15" hidden="false" customHeight="false" outlineLevel="0" collapsed="false">
      <c r="A18" s="3" t="s">
        <v>74</v>
      </c>
      <c r="B18" s="4" t="s">
        <v>75</v>
      </c>
      <c r="C18" s="3" t="s">
        <v>36</v>
      </c>
      <c r="D18" s="3" t="n">
        <v>150</v>
      </c>
      <c r="E18" s="3"/>
      <c r="F18" s="3"/>
      <c r="G18" s="3"/>
      <c r="H18" s="3"/>
      <c r="I18" s="3" t="n">
        <v>25</v>
      </c>
      <c r="J18" s="3"/>
      <c r="K18" s="3" t="n">
        <v>7</v>
      </c>
      <c r="L18" s="3" t="n">
        <v>2</v>
      </c>
      <c r="M18" s="3"/>
      <c r="N18" s="3"/>
      <c r="O18" s="3"/>
      <c r="P18" s="3"/>
      <c r="Q18" s="3"/>
      <c r="R18" s="3"/>
      <c r="S18" s="6" t="n">
        <f aca="false">SUMPRODUCT(D18:R18,D$2:R$2)</f>
        <v>754</v>
      </c>
      <c r="T18" s="3" t="n">
        <f aca="false">機兵總覽!H17</f>
        <v>30</v>
      </c>
      <c r="U18" s="6" t="n">
        <f aca="false">IF(S18=0,"",T18/S18*1000)</f>
        <v>39.7877984084881</v>
      </c>
    </row>
    <row r="19" customFormat="false" ht="15" hidden="false" customHeight="false" outlineLevel="0" collapsed="false">
      <c r="A19" s="3" t="s">
        <v>78</v>
      </c>
      <c r="B19" s="4" t="s">
        <v>79</v>
      </c>
      <c r="C19" s="3" t="s">
        <v>81</v>
      </c>
      <c r="D19" s="3" t="n">
        <v>165</v>
      </c>
      <c r="E19" s="3" t="n">
        <v>275</v>
      </c>
      <c r="F19" s="3"/>
      <c r="G19" s="3" t="n">
        <v>30</v>
      </c>
      <c r="H19" s="3"/>
      <c r="I19" s="3"/>
      <c r="J19" s="3" t="n">
        <v>40</v>
      </c>
      <c r="K19" s="3" t="n">
        <v>8</v>
      </c>
      <c r="L19" s="3" t="n">
        <v>9</v>
      </c>
      <c r="M19" s="3"/>
      <c r="N19" s="3"/>
      <c r="O19" s="3"/>
      <c r="P19" s="3"/>
      <c r="Q19" s="3" t="n">
        <v>1</v>
      </c>
      <c r="R19" s="3"/>
      <c r="S19" s="6" t="n">
        <f aca="false">SUMPRODUCT(D19:R19,D$2:R$2)</f>
        <v>4111.5</v>
      </c>
      <c r="T19" s="3" t="n">
        <f aca="false">機兵總覽!H18</f>
        <v>400</v>
      </c>
      <c r="U19" s="6" t="n">
        <f aca="false">IF(S19=0,"",T19/S19*1000)</f>
        <v>97.2880943694515</v>
      </c>
    </row>
    <row r="20" customFormat="false" ht="15" hidden="false" customHeight="false" outlineLevel="0" collapsed="false">
      <c r="A20" s="3" t="s">
        <v>83</v>
      </c>
      <c r="B20" s="4" t="s">
        <v>84</v>
      </c>
      <c r="C20" s="3" t="s">
        <v>81</v>
      </c>
      <c r="D20" s="3" t="n">
        <v>345</v>
      </c>
      <c r="E20" s="3" t="n">
        <v>510</v>
      </c>
      <c r="F20" s="3"/>
      <c r="G20" s="3"/>
      <c r="H20" s="3"/>
      <c r="I20" s="3"/>
      <c r="J20" s="3"/>
      <c r="K20" s="3" t="n">
        <v>9</v>
      </c>
      <c r="L20" s="3" t="n">
        <v>14</v>
      </c>
      <c r="M20" s="3"/>
      <c r="N20" s="3"/>
      <c r="O20" s="3"/>
      <c r="P20" s="3"/>
      <c r="Q20" s="3" t="n">
        <v>2</v>
      </c>
      <c r="R20" s="3"/>
      <c r="S20" s="6" t="n">
        <f aca="false">SUMPRODUCT(D20:R20,D$2:R$2)</f>
        <v>7063.5</v>
      </c>
      <c r="T20" s="3" t="n">
        <f aca="false">機兵總覽!H19</f>
        <v>300</v>
      </c>
      <c r="U20" s="6" t="n">
        <f aca="false">IF(S20=0,"",T20/S20*1000)</f>
        <v>42.4718623911659</v>
      </c>
    </row>
    <row r="21" customFormat="false" ht="15" hidden="false" customHeight="false" outlineLevel="0" collapsed="false">
      <c r="A21" s="3" t="s">
        <v>86</v>
      </c>
      <c r="B21" s="4" t="s">
        <v>87</v>
      </c>
      <c r="C21" s="3" t="s">
        <v>81</v>
      </c>
      <c r="D21" s="3" t="n">
        <v>200</v>
      </c>
      <c r="E21" s="3"/>
      <c r="F21" s="3"/>
      <c r="G21" s="3"/>
      <c r="H21" s="3" t="n">
        <v>20</v>
      </c>
      <c r="I21" s="3"/>
      <c r="J21" s="3"/>
      <c r="K21" s="3" t="n">
        <v>4</v>
      </c>
      <c r="L21" s="3" t="n">
        <v>2</v>
      </c>
      <c r="M21" s="3"/>
      <c r="N21" s="3" t="n">
        <v>1</v>
      </c>
      <c r="O21" s="3"/>
      <c r="P21" s="3"/>
      <c r="Q21" s="3"/>
      <c r="R21" s="3"/>
      <c r="S21" s="6" t="n">
        <f aca="false">SUMPRODUCT(D21:R21,D$2:R$2)</f>
        <v>1708</v>
      </c>
      <c r="T21" s="3" t="n">
        <f aca="false">機兵總覽!H20</f>
        <v>150</v>
      </c>
      <c r="U21" s="6" t="n">
        <f aca="false">IF(S21=0,"",T21/S21*1000)</f>
        <v>87.8220140515223</v>
      </c>
    </row>
    <row r="22" customFormat="false" ht="15" hidden="false" customHeight="false" outlineLevel="0" collapsed="false">
      <c r="A22" s="3" t="s">
        <v>90</v>
      </c>
      <c r="B22" s="4" t="s">
        <v>91</v>
      </c>
      <c r="C22" s="3" t="s">
        <v>81</v>
      </c>
      <c r="D22" s="3" t="n">
        <v>200</v>
      </c>
      <c r="E22" s="3" t="n">
        <v>15</v>
      </c>
      <c r="F22" s="3"/>
      <c r="G22" s="3"/>
      <c r="H22" s="3"/>
      <c r="I22" s="3"/>
      <c r="J22" s="3"/>
      <c r="K22" s="3" t="n">
        <v>10</v>
      </c>
      <c r="L22" s="3" t="n">
        <v>2</v>
      </c>
      <c r="M22" s="3"/>
      <c r="N22" s="3"/>
      <c r="O22" s="3"/>
      <c r="P22" s="3"/>
      <c r="Q22" s="3"/>
      <c r="R22" s="3"/>
      <c r="S22" s="6" t="n">
        <f aca="false">SUMPRODUCT(D22:R22,D$2:R$2)</f>
        <v>940</v>
      </c>
      <c r="T22" s="3" t="n">
        <f aca="false">機兵總覽!H21</f>
        <v>140</v>
      </c>
      <c r="U22" s="6" t="n">
        <f aca="false">IF(S22=0,"",T22/S22*1000)</f>
        <v>148.936170212766</v>
      </c>
    </row>
    <row r="23" customFormat="false" ht="15" hidden="false" customHeight="false" outlineLevel="0" collapsed="false">
      <c r="A23" s="3" t="s">
        <v>93</v>
      </c>
      <c r="B23" s="4" t="s">
        <v>94</v>
      </c>
      <c r="C23" s="3" t="s">
        <v>81</v>
      </c>
      <c r="D23" s="3" t="n">
        <v>200</v>
      </c>
      <c r="E23" s="3"/>
      <c r="F23" s="3"/>
      <c r="G23" s="3"/>
      <c r="H23" s="3" t="n">
        <v>20</v>
      </c>
      <c r="I23" s="3"/>
      <c r="J23" s="3"/>
      <c r="K23" s="3" t="n">
        <v>4</v>
      </c>
      <c r="L23" s="3" t="n">
        <v>2</v>
      </c>
      <c r="M23" s="3"/>
      <c r="N23" s="3"/>
      <c r="O23" s="3"/>
      <c r="P23" s="3"/>
      <c r="Q23" s="3"/>
      <c r="R23" s="3"/>
      <c r="S23" s="6" t="n">
        <f aca="false">SUMPRODUCT(D23:R23,D$2:R$2)</f>
        <v>708</v>
      </c>
      <c r="T23" s="3" t="n">
        <f aca="false">機兵總覽!H22</f>
        <v>120</v>
      </c>
      <c r="U23" s="6" t="n">
        <f aca="false">IF(S23=0,"",T23/S23*1000)</f>
        <v>169.491525423729</v>
      </c>
    </row>
    <row r="24" customFormat="false" ht="15" hidden="false" customHeight="false" outlineLevel="0" collapsed="false">
      <c r="A24" s="3" t="s">
        <v>96</v>
      </c>
      <c r="B24" s="4" t="s">
        <v>97</v>
      </c>
      <c r="C24" s="3" t="s">
        <v>81</v>
      </c>
      <c r="D24" s="3" t="n">
        <v>600</v>
      </c>
      <c r="E24" s="3"/>
      <c r="F24" s="3"/>
      <c r="G24" s="3"/>
      <c r="H24" s="3"/>
      <c r="I24" s="3"/>
      <c r="J24" s="3"/>
      <c r="K24" s="3" t="n">
        <v>15</v>
      </c>
      <c r="L24" s="3" t="n">
        <v>3</v>
      </c>
      <c r="M24" s="3"/>
      <c r="N24" s="3"/>
      <c r="O24" s="3"/>
      <c r="P24" s="3"/>
      <c r="Q24" s="3"/>
      <c r="R24" s="3"/>
      <c r="S24" s="6" t="n">
        <f aca="false">SUMPRODUCT(D24:R24,D$2:R$2)</f>
        <v>1800</v>
      </c>
      <c r="T24" s="3" t="n">
        <f aca="false">機兵總覽!H23</f>
        <v>120</v>
      </c>
      <c r="U24" s="6" t="n">
        <f aca="false">IF(S24=0,"",T24/S24*1000)</f>
        <v>66.6666666666667</v>
      </c>
    </row>
    <row r="25" customFormat="false" ht="15" hidden="false" customHeight="false" outlineLevel="0" collapsed="false">
      <c r="A25" s="3" t="s">
        <v>99</v>
      </c>
      <c r="B25" s="4" t="s">
        <v>100</v>
      </c>
      <c r="C25" s="3" t="s">
        <v>81</v>
      </c>
      <c r="D25" s="3" t="n">
        <v>300</v>
      </c>
      <c r="E25" s="3"/>
      <c r="F25" s="3"/>
      <c r="G25" s="3"/>
      <c r="H25" s="3" t="n">
        <v>25</v>
      </c>
      <c r="I25" s="3"/>
      <c r="J25" s="3"/>
      <c r="K25" s="3" t="n">
        <v>6</v>
      </c>
      <c r="L25" s="3" t="n">
        <v>2</v>
      </c>
      <c r="M25" s="3"/>
      <c r="N25" s="3"/>
      <c r="O25" s="3"/>
      <c r="P25" s="3"/>
      <c r="Q25" s="3"/>
      <c r="R25" s="3"/>
      <c r="S25" s="6" t="n">
        <f aca="false">SUMPRODUCT(D25:R25,D$2:R$2)</f>
        <v>982</v>
      </c>
      <c r="T25" s="3" t="n">
        <f aca="false">機兵總覽!H24</f>
        <v>80</v>
      </c>
      <c r="U25" s="6" t="n">
        <f aca="false">IF(S25=0,"",T25/S25*1000)</f>
        <v>81.4663951120163</v>
      </c>
    </row>
    <row r="26" customFormat="false" ht="15" hidden="false" customHeight="false" outlineLevel="0" collapsed="false">
      <c r="A26" s="3" t="s">
        <v>102</v>
      </c>
      <c r="B26" s="4" t="s">
        <v>103</v>
      </c>
      <c r="C26" s="3" t="s">
        <v>81</v>
      </c>
      <c r="D26" s="3" t="n">
        <v>300</v>
      </c>
      <c r="E26" s="3"/>
      <c r="F26" s="3"/>
      <c r="G26" s="3"/>
      <c r="H26" s="3" t="n">
        <v>50</v>
      </c>
      <c r="I26" s="3"/>
      <c r="J26" s="3"/>
      <c r="K26" s="3" t="n">
        <v>5</v>
      </c>
      <c r="L26" s="3" t="n">
        <v>4</v>
      </c>
      <c r="M26" s="3"/>
      <c r="N26" s="3"/>
      <c r="O26" s="3"/>
      <c r="P26" s="3"/>
      <c r="Q26" s="3"/>
      <c r="R26" s="3"/>
      <c r="S26" s="6" t="n">
        <f aca="false">SUMPRODUCT(D26:R26,D$2:R$2)</f>
        <v>1170</v>
      </c>
      <c r="T26" s="3" t="n">
        <f aca="false">機兵總覽!H25</f>
        <v>80</v>
      </c>
      <c r="U26" s="6" t="n">
        <f aca="false">IF(S26=0,"",T26/S26*1000)</f>
        <v>68.3760683760684</v>
      </c>
    </row>
    <row r="27" customFormat="false" ht="15" hidden="false" customHeight="false" outlineLevel="0" collapsed="false">
      <c r="A27" s="3" t="s">
        <v>105</v>
      </c>
      <c r="B27" s="4" t="s">
        <v>106</v>
      </c>
      <c r="C27" s="3" t="s">
        <v>108</v>
      </c>
      <c r="D27" s="3"/>
      <c r="E27" s="3" t="n">
        <v>390</v>
      </c>
      <c r="F27" s="3"/>
      <c r="G27" s="3"/>
      <c r="H27" s="3"/>
      <c r="I27" s="3"/>
      <c r="J27" s="3"/>
      <c r="K27" s="3" t="n">
        <v>24</v>
      </c>
      <c r="L27" s="3" t="n">
        <v>42</v>
      </c>
      <c r="M27" s="3" t="n">
        <v>4</v>
      </c>
      <c r="N27" s="3"/>
      <c r="O27" s="3"/>
      <c r="P27" s="3" t="n">
        <v>1</v>
      </c>
      <c r="Q27" s="3" t="n">
        <v>3</v>
      </c>
      <c r="R27" s="3"/>
      <c r="S27" s="6" t="n">
        <f aca="false">SUMPRODUCT(D27:R27,D$2:R$2)</f>
        <v>11008</v>
      </c>
      <c r="T27" s="3" t="n">
        <f aca="false">機兵總覽!H26</f>
        <v>500</v>
      </c>
      <c r="U27" s="6" t="n">
        <f aca="false">IF(S27=0,"",T27/S27*1000)</f>
        <v>45.421511627907</v>
      </c>
    </row>
    <row r="28" customFormat="false" ht="15" hidden="false" customHeight="false" outlineLevel="0" collapsed="false">
      <c r="A28" s="3" t="s">
        <v>110</v>
      </c>
      <c r="B28" s="4" t="s">
        <v>111</v>
      </c>
      <c r="C28" s="3" t="s">
        <v>108</v>
      </c>
      <c r="D28" s="3"/>
      <c r="E28" s="3" t="n">
        <v>1140</v>
      </c>
      <c r="F28" s="3"/>
      <c r="G28" s="3" t="n">
        <v>100</v>
      </c>
      <c r="H28" s="3"/>
      <c r="I28" s="3" t="n">
        <v>360</v>
      </c>
      <c r="J28" s="3"/>
      <c r="K28" s="3"/>
      <c r="L28" s="3" t="n">
        <v>50</v>
      </c>
      <c r="M28" s="3" t="n">
        <v>7</v>
      </c>
      <c r="N28" s="3"/>
      <c r="O28" s="3" t="n">
        <v>1</v>
      </c>
      <c r="P28" s="3"/>
      <c r="Q28" s="3" t="n">
        <v>3</v>
      </c>
      <c r="R28" s="3"/>
      <c r="S28" s="6" t="n">
        <f aca="false">SUMPRODUCT(D28:R28,D$2:R$2)</f>
        <v>19020</v>
      </c>
      <c r="T28" s="3" t="n">
        <f aca="false">機兵總覽!H27</f>
        <v>500</v>
      </c>
      <c r="U28" s="6" t="n">
        <f aca="false">IF(S28=0,"",T28/S28*1000)</f>
        <v>26.2881177707676</v>
      </c>
    </row>
    <row r="29" customFormat="false" ht="15" hidden="false" customHeight="false" outlineLevel="0" collapsed="false">
      <c r="A29" s="3" t="s">
        <v>114</v>
      </c>
      <c r="B29" s="4" t="s">
        <v>115</v>
      </c>
      <c r="C29" s="3" t="s">
        <v>108</v>
      </c>
      <c r="D29" s="3" t="n">
        <v>250</v>
      </c>
      <c r="E29" s="3" t="n">
        <v>550</v>
      </c>
      <c r="F29" s="3" t="n">
        <v>200</v>
      </c>
      <c r="G29" s="3"/>
      <c r="H29" s="3"/>
      <c r="I29" s="3"/>
      <c r="J29" s="3"/>
      <c r="K29" s="3" t="n">
        <v>20</v>
      </c>
      <c r="L29" s="3" t="n">
        <v>20</v>
      </c>
      <c r="M29" s="3"/>
      <c r="N29" s="3"/>
      <c r="O29" s="3"/>
      <c r="P29" s="3"/>
      <c r="Q29" s="3" t="n">
        <v>1</v>
      </c>
      <c r="R29" s="3"/>
      <c r="S29" s="6" t="n">
        <f aca="false">SUMPRODUCT(D29:R29,D$2:R$2)</f>
        <v>7715</v>
      </c>
      <c r="T29" s="3" t="n">
        <f aca="false">機兵總覽!H28</f>
        <v>480</v>
      </c>
      <c r="U29" s="6" t="n">
        <f aca="false">IF(S29=0,"",T29/S29*1000)</f>
        <v>62.2164614387557</v>
      </c>
    </row>
    <row r="30" customFormat="false" ht="15" hidden="false" customHeight="false" outlineLevel="0" collapsed="false">
      <c r="A30" s="3" t="s">
        <v>117</v>
      </c>
      <c r="B30" s="4" t="s">
        <v>118</v>
      </c>
      <c r="C30" s="3" t="s">
        <v>108</v>
      </c>
      <c r="D30" s="3" t="n">
        <v>200</v>
      </c>
      <c r="E30" s="3" t="n">
        <v>500</v>
      </c>
      <c r="F30" s="3"/>
      <c r="G30" s="3"/>
      <c r="H30" s="3"/>
      <c r="I30" s="3"/>
      <c r="J30" s="3"/>
      <c r="K30" s="3" t="n">
        <v>15</v>
      </c>
      <c r="L30" s="3" t="n">
        <v>15</v>
      </c>
      <c r="M30" s="3"/>
      <c r="N30" s="3"/>
      <c r="O30" s="3"/>
      <c r="P30" s="3"/>
      <c r="Q30" s="3" t="n">
        <v>1</v>
      </c>
      <c r="R30" s="3" t="n">
        <v>1</v>
      </c>
      <c r="S30" s="6" t="n">
        <f aca="false">SUMPRODUCT(D30:R30,D$2:R$2)</f>
        <v>6710</v>
      </c>
      <c r="T30" s="3" t="n">
        <f aca="false">機兵總覽!H29</f>
        <v>420</v>
      </c>
      <c r="U30" s="6" t="n">
        <f aca="false">IF(S30=0,"",T30/S30*1000)</f>
        <v>62.5931445603577</v>
      </c>
    </row>
    <row r="31" customFormat="false" ht="15" hidden="false" customHeight="false" outlineLevel="0" collapsed="false">
      <c r="A31" s="3" t="s">
        <v>120</v>
      </c>
      <c r="B31" s="4" t="s">
        <v>121</v>
      </c>
      <c r="C31" s="3" t="s">
        <v>108</v>
      </c>
      <c r="D31" s="3" t="n">
        <v>200</v>
      </c>
      <c r="E31" s="3" t="n">
        <v>500</v>
      </c>
      <c r="F31" s="3"/>
      <c r="G31" s="3"/>
      <c r="H31" s="3"/>
      <c r="I31" s="3"/>
      <c r="J31" s="3"/>
      <c r="K31" s="3" t="n">
        <v>12</v>
      </c>
      <c r="L31" s="3" t="n">
        <v>15</v>
      </c>
      <c r="M31" s="3"/>
      <c r="N31" s="3"/>
      <c r="O31" s="3" t="n">
        <v>1</v>
      </c>
      <c r="P31" s="3"/>
      <c r="Q31" s="3" t="n">
        <v>1</v>
      </c>
      <c r="R31" s="3"/>
      <c r="S31" s="6" t="n">
        <f aca="false">SUMPRODUCT(D31:R31,D$2:R$2)</f>
        <v>7664</v>
      </c>
      <c r="T31" s="3" t="n">
        <f aca="false">機兵總覽!H30</f>
        <v>250</v>
      </c>
      <c r="U31" s="6" t="n">
        <f aca="false">IF(S31=0,"",T31/S31*1000)</f>
        <v>32.6200417536534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4"/>
    <col collapsed="false" customWidth="true" hidden="false" outlineLevel="0" max="4" min="4" style="0" width="30"/>
  </cols>
  <sheetData>
    <row r="1" customFormat="false" ht="15" hidden="false" customHeight="false" outlineLevel="0" collapsed="false">
      <c r="A1" s="1" t="s">
        <v>140</v>
      </c>
      <c r="B1" s="1" t="s">
        <v>141</v>
      </c>
      <c r="C1" s="1" t="s">
        <v>142</v>
      </c>
      <c r="D1" s="1" t="s">
        <v>143</v>
      </c>
    </row>
    <row r="2" customFormat="false" ht="15" hidden="false" customHeight="false" outlineLevel="0" collapsed="false">
      <c r="A2" s="3" t="s">
        <v>144</v>
      </c>
      <c r="B2" s="9" t="n">
        <v>1.9</v>
      </c>
      <c r="C2" s="4" t="s">
        <v>145</v>
      </c>
      <c r="D2" s="3" t="s">
        <v>146</v>
      </c>
    </row>
    <row r="3" customFormat="false" ht="15" hidden="false" customHeight="false" outlineLevel="0" collapsed="false">
      <c r="A3" s="3" t="s">
        <v>147</v>
      </c>
      <c r="B3" s="9" t="n">
        <v>8</v>
      </c>
      <c r="C3" s="4" t="s">
        <v>148</v>
      </c>
      <c r="D3" s="4" t="s">
        <v>149</v>
      </c>
    </row>
    <row r="4" customFormat="false" ht="15" hidden="false" customHeight="false" outlineLevel="0" collapsed="false">
      <c r="A4" s="3" t="s">
        <v>150</v>
      </c>
      <c r="B4" s="9" t="n">
        <v>2</v>
      </c>
      <c r="C4" s="4" t="s">
        <v>151</v>
      </c>
      <c r="D4" s="4" t="s">
        <v>149</v>
      </c>
    </row>
    <row r="5" customFormat="false" ht="15" hidden="false" customHeight="false" outlineLevel="0" collapsed="false">
      <c r="A5" s="3" t="s">
        <v>152</v>
      </c>
      <c r="B5" s="9" t="n">
        <v>5</v>
      </c>
      <c r="C5" s="4" t="s">
        <v>153</v>
      </c>
      <c r="D5" s="4" t="s">
        <v>149</v>
      </c>
    </row>
    <row r="6" customFormat="false" ht="15" hidden="false" customHeight="false" outlineLevel="0" collapsed="false">
      <c r="A6" s="3" t="s">
        <v>154</v>
      </c>
      <c r="B6" s="9" t="n">
        <v>4</v>
      </c>
      <c r="C6" s="4" t="s">
        <v>155</v>
      </c>
      <c r="D6" s="3" t="s">
        <v>146</v>
      </c>
    </row>
    <row r="7" customFormat="false" ht="15" hidden="false" customHeight="false" outlineLevel="0" collapsed="false">
      <c r="A7" s="3" t="s">
        <v>156</v>
      </c>
      <c r="B7" s="9" t="n">
        <v>5</v>
      </c>
      <c r="C7" s="4" t="s">
        <v>157</v>
      </c>
      <c r="D7" s="4" t="s">
        <v>149</v>
      </c>
    </row>
    <row r="8" customFormat="false" ht="15" hidden="false" customHeight="false" outlineLevel="0" collapsed="false">
      <c r="A8" s="3" t="s">
        <v>158</v>
      </c>
      <c r="B8" s="9" t="n">
        <v>1.3</v>
      </c>
      <c r="C8" s="4" t="s">
        <v>159</v>
      </c>
      <c r="D8" s="3" t="s">
        <v>146</v>
      </c>
    </row>
    <row r="9" customFormat="false" ht="15" hidden="false" customHeight="false" outlineLevel="0" collapsed="false">
      <c r="A9" s="3" t="s">
        <v>160</v>
      </c>
      <c r="B9" s="9" t="n">
        <v>32</v>
      </c>
      <c r="C9" s="4" t="s">
        <v>161</v>
      </c>
      <c r="D9" s="3" t="s">
        <v>146</v>
      </c>
    </row>
    <row r="10" customFormat="false" ht="15" hidden="false" customHeight="false" outlineLevel="0" collapsed="false">
      <c r="A10" s="3" t="s">
        <v>162</v>
      </c>
      <c r="B10" s="9" t="n">
        <v>60</v>
      </c>
      <c r="C10" s="4" t="s">
        <v>163</v>
      </c>
      <c r="D10" s="4" t="s">
        <v>149</v>
      </c>
    </row>
    <row r="11" customFormat="false" ht="15" hidden="false" customHeight="false" outlineLevel="0" collapsed="false">
      <c r="A11" s="3" t="s">
        <v>164</v>
      </c>
      <c r="B11" s="9" t="n">
        <v>200</v>
      </c>
      <c r="C11" s="4" t="s">
        <v>165</v>
      </c>
      <c r="D11" s="3" t="s">
        <v>146</v>
      </c>
    </row>
    <row r="12" customFormat="false" ht="15" hidden="false" customHeight="false" outlineLevel="0" collapsed="false">
      <c r="A12" s="3" t="s">
        <v>166</v>
      </c>
      <c r="B12" s="9" t="n">
        <v>1000</v>
      </c>
      <c r="C12" s="4" t="s">
        <v>167</v>
      </c>
      <c r="D12" s="4" t="s">
        <v>149</v>
      </c>
    </row>
    <row r="13" customFormat="false" ht="15" hidden="false" customHeight="false" outlineLevel="0" collapsed="false">
      <c r="A13" s="3" t="s">
        <v>168</v>
      </c>
      <c r="B13" s="9" t="n">
        <v>1400</v>
      </c>
      <c r="C13" s="4" t="s">
        <v>169</v>
      </c>
      <c r="D13" s="4" t="s">
        <v>149</v>
      </c>
    </row>
    <row r="14" customFormat="false" ht="15" hidden="false" customHeight="false" outlineLevel="0" collapsed="false">
      <c r="A14" s="3" t="s">
        <v>170</v>
      </c>
      <c r="B14" s="9" t="n">
        <v>2000</v>
      </c>
      <c r="C14" s="4" t="s">
        <v>171</v>
      </c>
      <c r="D14" s="4" t="s">
        <v>149</v>
      </c>
    </row>
    <row r="15" customFormat="false" ht="15" hidden="false" customHeight="false" outlineLevel="0" collapsed="false">
      <c r="A15" s="3" t="s">
        <v>172</v>
      </c>
      <c r="B15" s="9" t="n">
        <v>600</v>
      </c>
      <c r="C15" s="4" t="s">
        <v>173</v>
      </c>
      <c r="D15" s="4" t="s">
        <v>149</v>
      </c>
    </row>
    <row r="16" customFormat="false" ht="15" hidden="false" customHeight="false" outlineLevel="0" collapsed="false">
      <c r="A16" s="3" t="s">
        <v>174</v>
      </c>
      <c r="B16" s="9" t="n">
        <v>350</v>
      </c>
      <c r="C16" s="4" t="s">
        <v>175</v>
      </c>
      <c r="D16" s="3" t="s">
        <v>146</v>
      </c>
    </row>
    <row r="18" customFormat="false" ht="15" hidden="false" customHeight="false" outlineLevel="0" collapsed="false">
      <c r="A18" s="10" t="s">
        <v>176</v>
      </c>
    </row>
    <row r="19" customFormat="false" ht="15" hidden="false" customHeight="false" outlineLevel="0" collapsed="false">
      <c r="A19" s="10" t="s">
        <v>177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5" min="2" style="0" width="12"/>
    <col collapsed="false" customWidth="true" hidden="false" outlineLevel="0" max="6" min="6" style="0" width="26"/>
    <col collapsed="false" customWidth="true" hidden="false" outlineLevel="0" max="7" min="7" style="0" width="12"/>
    <col collapsed="false" customWidth="true" hidden="false" outlineLevel="0" max="8" min="8" style="0" width="52"/>
  </cols>
  <sheetData>
    <row r="1" customFormat="false" ht="15" hidden="false" customHeight="false" outlineLevel="0" collapsed="false">
      <c r="A1" s="1" t="s">
        <v>178</v>
      </c>
      <c r="B1" s="1" t="s">
        <v>142</v>
      </c>
      <c r="C1" s="1" t="s">
        <v>179</v>
      </c>
      <c r="D1" s="1" t="s">
        <v>6</v>
      </c>
      <c r="E1" s="1" t="s">
        <v>180</v>
      </c>
      <c r="F1" s="1" t="s">
        <v>181</v>
      </c>
      <c r="G1" s="1" t="s">
        <v>182</v>
      </c>
      <c r="H1" s="1" t="s">
        <v>183</v>
      </c>
    </row>
    <row r="2" customFormat="false" ht="15" hidden="false" customHeight="false" outlineLevel="0" collapsed="false">
      <c r="A2" s="11" t="s">
        <v>26</v>
      </c>
      <c r="B2" s="12" t="s">
        <v>184</v>
      </c>
      <c r="C2" s="11" t="n">
        <v>1000</v>
      </c>
      <c r="D2" s="11" t="n">
        <v>1200</v>
      </c>
      <c r="E2" s="11" t="s">
        <v>185</v>
      </c>
      <c r="F2" s="11" t="s">
        <v>186</v>
      </c>
      <c r="G2" s="11" t="n">
        <v>3</v>
      </c>
      <c r="H2" s="12" t="s">
        <v>187</v>
      </c>
    </row>
    <row r="3" customFormat="false" ht="15" hidden="false" customHeight="false" outlineLevel="0" collapsed="false">
      <c r="A3" s="11" t="s">
        <v>64</v>
      </c>
      <c r="B3" s="12" t="s">
        <v>188</v>
      </c>
      <c r="C3" s="11" t="n">
        <v>500</v>
      </c>
      <c r="D3" s="11" t="n">
        <v>1700</v>
      </c>
      <c r="E3" s="11" t="s">
        <v>185</v>
      </c>
      <c r="F3" s="11" t="s">
        <v>189</v>
      </c>
      <c r="G3" s="11" t="n">
        <v>3</v>
      </c>
      <c r="H3" s="12" t="s">
        <v>190</v>
      </c>
    </row>
    <row r="4" customFormat="false" ht="23.85" hidden="false" customHeight="false" outlineLevel="0" collapsed="false">
      <c r="A4" s="11" t="s">
        <v>77</v>
      </c>
      <c r="B4" s="12" t="s">
        <v>191</v>
      </c>
      <c r="C4" s="11" t="n">
        <v>1500</v>
      </c>
      <c r="D4" s="11" t="n">
        <v>3700</v>
      </c>
      <c r="E4" s="11" t="s">
        <v>185</v>
      </c>
      <c r="F4" s="11" t="s">
        <v>192</v>
      </c>
      <c r="G4" s="11" t="n">
        <v>2</v>
      </c>
      <c r="H4" s="12" t="s">
        <v>193</v>
      </c>
    </row>
    <row r="5" customFormat="false" ht="23.85" hidden="false" customHeight="false" outlineLevel="0" collapsed="false">
      <c r="A5" s="11" t="s">
        <v>54</v>
      </c>
      <c r="B5" s="12" t="s">
        <v>194</v>
      </c>
      <c r="C5" s="11" t="n">
        <v>1000</v>
      </c>
      <c r="D5" s="11" t="n">
        <v>4700</v>
      </c>
      <c r="E5" s="11" t="s">
        <v>185</v>
      </c>
      <c r="F5" s="11" t="s">
        <v>195</v>
      </c>
      <c r="G5" s="11" t="n">
        <v>3</v>
      </c>
      <c r="H5" s="12" t="s">
        <v>196</v>
      </c>
    </row>
    <row r="6" customFormat="false" ht="15" hidden="false" customHeight="false" outlineLevel="0" collapsed="false">
      <c r="A6" s="11" t="s">
        <v>89</v>
      </c>
      <c r="B6" s="12" t="s">
        <v>197</v>
      </c>
      <c r="C6" s="11" t="n">
        <v>800</v>
      </c>
      <c r="D6" s="11" t="n">
        <v>5500</v>
      </c>
      <c r="E6" s="11" t="s">
        <v>185</v>
      </c>
      <c r="F6" s="11" t="s">
        <v>198</v>
      </c>
      <c r="G6" s="11" t="n">
        <v>4</v>
      </c>
      <c r="H6" s="12" t="s">
        <v>199</v>
      </c>
    </row>
    <row r="7" customFormat="false" ht="15" hidden="false" customHeight="false" outlineLevel="0" collapsed="false">
      <c r="A7" s="11" t="s">
        <v>44</v>
      </c>
      <c r="B7" s="12" t="s">
        <v>200</v>
      </c>
      <c r="C7" s="11" t="n">
        <v>1200</v>
      </c>
      <c r="D7" s="11" t="n">
        <v>5900</v>
      </c>
      <c r="E7" s="11" t="s">
        <v>185</v>
      </c>
      <c r="F7" s="11" t="s">
        <v>198</v>
      </c>
      <c r="G7" s="11" t="n">
        <v>3</v>
      </c>
      <c r="H7" s="12" t="s">
        <v>201</v>
      </c>
    </row>
    <row r="8" customFormat="false" ht="23.85" hidden="false" customHeight="false" outlineLevel="0" collapsed="false">
      <c r="A8" s="11" t="s">
        <v>82</v>
      </c>
      <c r="B8" s="12" t="s">
        <v>202</v>
      </c>
      <c r="C8" s="11" t="n">
        <v>3000</v>
      </c>
      <c r="D8" s="11" t="n">
        <v>7700</v>
      </c>
      <c r="E8" s="11" t="s">
        <v>203</v>
      </c>
      <c r="F8" s="11" t="s">
        <v>204</v>
      </c>
      <c r="G8" s="11" t="n">
        <v>3</v>
      </c>
      <c r="H8" s="12" t="s">
        <v>205</v>
      </c>
    </row>
    <row r="9" customFormat="false" ht="15" hidden="false" customHeight="false" outlineLevel="0" collapsed="false">
      <c r="A9" s="11" t="s">
        <v>37</v>
      </c>
      <c r="B9" s="12" t="s">
        <v>206</v>
      </c>
      <c r="C9" s="11" t="n">
        <v>2500</v>
      </c>
      <c r="D9" s="11" t="n">
        <v>8400</v>
      </c>
      <c r="E9" s="11" t="s">
        <v>185</v>
      </c>
      <c r="F9" s="11" t="s">
        <v>207</v>
      </c>
      <c r="G9" s="11" t="n">
        <v>3</v>
      </c>
      <c r="H9" s="12" t="s">
        <v>208</v>
      </c>
    </row>
    <row r="10" customFormat="false" ht="23.85" hidden="false" customHeight="false" outlineLevel="0" collapsed="false">
      <c r="A10" s="11" t="s">
        <v>109</v>
      </c>
      <c r="B10" s="12" t="s">
        <v>209</v>
      </c>
      <c r="C10" s="11" t="n">
        <v>1000</v>
      </c>
      <c r="D10" s="11" t="n">
        <v>9500</v>
      </c>
      <c r="E10" s="11" t="s">
        <v>185</v>
      </c>
      <c r="F10" s="11" t="s">
        <v>210</v>
      </c>
      <c r="G10" s="11" t="n">
        <v>4</v>
      </c>
      <c r="H10" s="12" t="s">
        <v>211</v>
      </c>
    </row>
    <row r="11" customFormat="false" ht="23.85" hidden="false" customHeight="false" outlineLevel="0" collapsed="false">
      <c r="A11" s="11" t="s">
        <v>113</v>
      </c>
      <c r="B11" s="12" t="s">
        <v>212</v>
      </c>
      <c r="C11" s="11" t="n">
        <v>6000</v>
      </c>
      <c r="D11" s="11" t="n">
        <v>19500</v>
      </c>
      <c r="E11" s="11" t="s">
        <v>203</v>
      </c>
      <c r="F11" s="11" t="s">
        <v>213</v>
      </c>
      <c r="G11" s="11" t="n">
        <v>1</v>
      </c>
      <c r="H11" s="12" t="s">
        <v>111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1"/>
    <col collapsed="false" customWidth="true" hidden="false" outlineLevel="0" max="3" min="3" style="0" width="24"/>
    <col collapsed="false" customWidth="true" hidden="false" outlineLevel="0" max="4" min="4" style="0" width="11"/>
    <col collapsed="false" customWidth="true" hidden="false" outlineLevel="0" max="5" min="5" style="0" width="10"/>
    <col collapsed="false" customWidth="true" hidden="false" outlineLevel="0" max="6" min="6" style="0" width="7"/>
    <col collapsed="false" customWidth="true" hidden="false" outlineLevel="0" max="7" min="7" style="0" width="9"/>
    <col collapsed="false" customWidth="true" hidden="false" outlineLevel="0" max="8" min="8" style="0" width="7"/>
    <col collapsed="false" customWidth="true" hidden="false" outlineLevel="0" max="10" min="9" style="0" width="9"/>
    <col collapsed="false" customWidth="true" hidden="false" outlineLevel="0" max="11" min="11" style="0" width="50"/>
  </cols>
  <sheetData>
    <row r="1" customFormat="false" ht="15" hidden="false" customHeight="false" outlineLevel="0" collapsed="false">
      <c r="A1" s="1" t="s">
        <v>0</v>
      </c>
      <c r="B1" s="1" t="s">
        <v>1</v>
      </c>
      <c r="C1" s="2" t="s">
        <v>2</v>
      </c>
      <c r="D1" s="1" t="s">
        <v>3</v>
      </c>
      <c r="E1" s="1" t="s">
        <v>7</v>
      </c>
      <c r="F1" s="1" t="s">
        <v>8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214</v>
      </c>
    </row>
    <row r="2" customFormat="false" ht="15" hidden="false" customHeight="false" outlineLevel="0" collapsed="false">
      <c r="A2" s="3" t="s">
        <v>117</v>
      </c>
      <c r="B2" s="4" t="s">
        <v>118</v>
      </c>
      <c r="C2" s="3" t="s">
        <v>215</v>
      </c>
      <c r="D2" s="3" t="s">
        <v>108</v>
      </c>
      <c r="E2" s="3" t="n">
        <v>420</v>
      </c>
      <c r="F2" s="3" t="n">
        <v>5</v>
      </c>
      <c r="G2" s="3" t="n">
        <v>5</v>
      </c>
      <c r="H2" s="3" t="n">
        <v>2.5</v>
      </c>
      <c r="I2" s="3" t="n">
        <v>1.5</v>
      </c>
      <c r="J2" s="3" t="n">
        <v>1.3</v>
      </c>
      <c r="K2" s="4" t="s">
        <v>216</v>
      </c>
    </row>
    <row r="3" customFormat="false" ht="15" hidden="false" customHeight="false" outlineLevel="0" collapsed="false">
      <c r="A3" s="3" t="s">
        <v>217</v>
      </c>
      <c r="B3" s="4" t="s">
        <v>218</v>
      </c>
      <c r="C3" s="3" t="s">
        <v>219</v>
      </c>
      <c r="D3" s="3" t="s">
        <v>36</v>
      </c>
      <c r="E3" s="3" t="n">
        <v>140</v>
      </c>
      <c r="F3" s="3" t="n">
        <v>2</v>
      </c>
      <c r="G3" s="3" t="n">
        <v>1</v>
      </c>
      <c r="H3" s="3" t="n">
        <v>4.2</v>
      </c>
      <c r="I3" s="3" t="n">
        <v>0.4</v>
      </c>
      <c r="J3" s="3" t="n">
        <v>0.2</v>
      </c>
      <c r="K3" s="4" t="s">
        <v>220</v>
      </c>
    </row>
    <row r="4" customFormat="false" ht="15" hidden="false" customHeight="false" outlineLevel="0" collapsed="false">
      <c r="A4" s="3" t="s">
        <v>114</v>
      </c>
      <c r="B4" s="4" t="s">
        <v>115</v>
      </c>
      <c r="C4" s="3" t="s">
        <v>221</v>
      </c>
      <c r="D4" s="3" t="s">
        <v>108</v>
      </c>
      <c r="E4" s="3" t="n">
        <v>480</v>
      </c>
      <c r="F4" s="3" t="n">
        <v>7</v>
      </c>
      <c r="G4" s="3" t="n">
        <v>5.3</v>
      </c>
      <c r="H4" s="3" t="n">
        <v>2.2</v>
      </c>
      <c r="I4" s="3" t="n">
        <v>2</v>
      </c>
      <c r="J4" s="3" t="n">
        <v>1.5</v>
      </c>
      <c r="K4" s="4" t="s">
        <v>222</v>
      </c>
    </row>
    <row r="5" customFormat="false" ht="15" hidden="false" customHeight="false" outlineLevel="0" collapsed="false">
      <c r="A5" s="3" t="s">
        <v>223</v>
      </c>
      <c r="B5" s="4" t="s">
        <v>224</v>
      </c>
      <c r="C5" s="3" t="s">
        <v>225</v>
      </c>
      <c r="D5" s="3" t="s">
        <v>25</v>
      </c>
      <c r="E5" s="3" t="n">
        <v>150</v>
      </c>
      <c r="F5" s="3" t="n">
        <v>3</v>
      </c>
      <c r="G5" s="3"/>
      <c r="H5" s="3" t="n">
        <v>5</v>
      </c>
      <c r="I5" s="3" t="n">
        <v>0.2</v>
      </c>
      <c r="J5" s="3" t="n">
        <v>0.2</v>
      </c>
      <c r="K5" s="4" t="s">
        <v>226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0"/>
  </cols>
  <sheetData>
    <row r="1" customFormat="false" ht="19.4" hidden="false" customHeight="false" outlineLevel="0" collapsed="false">
      <c r="A1" s="13" t="s">
        <v>227</v>
      </c>
    </row>
    <row r="2" customFormat="false" ht="15" hidden="false" customHeight="false" outlineLevel="0" collapsed="false">
      <c r="A2" s="14"/>
    </row>
    <row r="3" customFormat="false" ht="15" hidden="false" customHeight="false" outlineLevel="0" collapsed="false">
      <c r="A3" s="15" t="s">
        <v>228</v>
      </c>
    </row>
    <row r="4" customFormat="false" ht="15" hidden="false" customHeight="false" outlineLevel="0" collapsed="false">
      <c r="A4" s="14"/>
    </row>
    <row r="5" customFormat="false" ht="15" hidden="false" customHeight="false" outlineLevel="0" collapsed="false">
      <c r="A5" s="16" t="s">
        <v>229</v>
      </c>
    </row>
    <row r="6" customFormat="false" ht="15" hidden="false" customHeight="false" outlineLevel="0" collapsed="false">
      <c r="A6" s="15" t="s">
        <v>230</v>
      </c>
    </row>
    <row r="7" customFormat="false" ht="15" hidden="false" customHeight="false" outlineLevel="0" collapsed="false">
      <c r="A7" s="15" t="s">
        <v>231</v>
      </c>
    </row>
    <row r="8" customFormat="false" ht="15" hidden="false" customHeight="false" outlineLevel="0" collapsed="false">
      <c r="A8" s="14" t="s">
        <v>232</v>
      </c>
    </row>
    <row r="9" customFormat="false" ht="15" hidden="false" customHeight="false" outlineLevel="0" collapsed="false">
      <c r="A9" s="14" t="s">
        <v>233</v>
      </c>
    </row>
    <row r="10" customFormat="false" ht="15" hidden="false" customHeight="false" outlineLevel="0" collapsed="false">
      <c r="A10" s="15" t="s">
        <v>234</v>
      </c>
    </row>
    <row r="11" customFormat="false" ht="15" hidden="false" customHeight="false" outlineLevel="0" collapsed="false">
      <c r="A11" s="15" t="s">
        <v>235</v>
      </c>
    </row>
    <row r="12" customFormat="false" ht="15" hidden="false" customHeight="false" outlineLevel="0" collapsed="false">
      <c r="A12" s="15" t="s">
        <v>236</v>
      </c>
    </row>
    <row r="13" customFormat="false" ht="15" hidden="false" customHeight="false" outlineLevel="0" collapsed="false">
      <c r="A13" s="15" t="s">
        <v>237</v>
      </c>
    </row>
    <row r="14" customFormat="false" ht="15" hidden="false" customHeight="false" outlineLevel="0" collapsed="false">
      <c r="A14" s="14"/>
    </row>
    <row r="15" customFormat="false" ht="15" hidden="false" customHeight="false" outlineLevel="0" collapsed="false">
      <c r="A15" s="16" t="s">
        <v>238</v>
      </c>
    </row>
    <row r="16" customFormat="false" ht="15" hidden="false" customHeight="false" outlineLevel="0" collapsed="false">
      <c r="A16" s="14" t="s">
        <v>239</v>
      </c>
    </row>
    <row r="17" customFormat="false" ht="15" hidden="false" customHeight="false" outlineLevel="0" collapsed="false">
      <c r="A17" s="14" t="s">
        <v>240</v>
      </c>
    </row>
    <row r="18" customFormat="false" ht="15" hidden="false" customHeight="false" outlineLevel="0" collapsed="false">
      <c r="A18" s="14" t="s">
        <v>241</v>
      </c>
    </row>
    <row r="19" customFormat="false" ht="15" hidden="false" customHeight="false" outlineLevel="0" collapsed="false">
      <c r="A19" s="14" t="s">
        <v>242</v>
      </c>
    </row>
    <row r="20" customFormat="false" ht="15" hidden="false" customHeight="false" outlineLevel="0" collapsed="false">
      <c r="A20" s="14" t="s">
        <v>243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2026-07-26T05:52:14Z</dcterms:created>
  <dc:creator>openpyxl</dc:creator>
  <dc:description/>
  <dc:language>en-US</dc:language>
  <cp:lastModifiedBy/>
  <dcterms:modified xsi:type="dcterms:W3CDTF">2026-07-26T05:52:14Z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